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bcoza-my.sharepoint.com/personal/ddesousa_buco_co_za/Documents/AI Agent - Plans_BOQ/"/>
    </mc:Choice>
  </mc:AlternateContent>
  <xr:revisionPtr revIDLastSave="132" documentId="11_EB7342429C1D562298FC466740F2E02DCBD1F044" xr6:coauthVersionLast="47" xr6:coauthVersionMax="47" xr10:uidLastSave="{E12CB204-FBC5-4CCC-B556-045B2ECA22EA}"/>
  <bookViews>
    <workbookView xWindow="-28920" yWindow="-120" windowWidth="29040" windowHeight="15720" tabRatio="666" xr2:uid="{00000000-000D-0000-FFFF-FFFF00000000}"/>
  </bookViews>
  <sheets>
    <sheet name="Summary" sheetId="2" r:id="rId1"/>
    <sheet name="BOQ" sheetId="3" r:id="rId2"/>
    <sheet name="Take-off" sheetId="4" r:id="rId3"/>
    <sheet name="Assumptions &amp; Verify" sheetId="5" r:id="rId4"/>
    <sheet name="Norms" sheetId="6" r:id="rId5"/>
    <sheet name="Output" sheetId="7" r:id="rId6"/>
  </sheets>
  <definedNames>
    <definedName name="_xlnm._FilterDatabase" localSheetId="3" hidden="1">'Assumptions &amp; Verify'!$A$4:$C$26</definedName>
    <definedName name="_xlnm._FilterDatabase" localSheetId="1" hidden="1">BOQ!$A$4:$J$75</definedName>
    <definedName name="_xlnm._FilterDatabase" localSheetId="4" hidden="1">Norms!$A$4:$E$43</definedName>
  </definedNames>
  <calcPr calcId="0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tc={28DD96D1-7941-4A2C-8F7B-1DAFF4761D48}</author>
  </authors>
  <commentList>
    <comment ref="A4" authorId="0" shapeId="0" xr:uid="{28DD96D1-7941-4A2C-8F7B-1DAFF4761D48}">
      <text>
        <t>[Threaded comment]
Your version of Excel allows you to read this threaded comment; however, any edits to it will get removed if the file is opened in a newer version of Excel. Learn more: https://go.microsoft.com/fwlink/?linkid=870924
Comment:
    Legend: Section — One of: verify | assumed-norm | exclusion</t>
      </text>
    </comment>
  </commentList>
</comments>
</file>

<file path=xl/sharedStrings.xml><?xml version="1.0" encoding="utf-8"?>
<sst xmlns="http://schemas.openxmlformats.org/spreadsheetml/2006/main" count="992" uniqueCount="474">
  <si>
    <t>Item No</t>
  </si>
  <si>
    <t>Description</t>
  </si>
  <si>
    <t>Unit</t>
  </si>
  <si>
    <t>Quantity</t>
  </si>
  <si>
    <t>Wastage %</t>
  </si>
  <si>
    <t>Total Qty</t>
  </si>
  <si>
    <t>Status</t>
  </si>
  <si>
    <t>A.1</t>
  </si>
  <si>
    <t>m3</t>
  </si>
  <si>
    <t>34.2 x 0.45 x 0.60</t>
  </si>
  <si>
    <t>verified</t>
  </si>
  <si>
    <t>A.2</t>
  </si>
  <si>
    <t>B.1</t>
  </si>
  <si>
    <t>B.2</t>
  </si>
  <si>
    <t>kg</t>
  </si>
  <si>
    <t>C.1</t>
  </si>
  <si>
    <t>No</t>
  </si>
  <si>
    <t>Excavation &amp; founding</t>
  </si>
  <si>
    <t>Concrete</t>
  </si>
  <si>
    <t>Reinforcing</t>
  </si>
  <si>
    <t>Masonry</t>
  </si>
  <si>
    <t>Element</t>
  </si>
  <si>
    <t>Length m</t>
  </si>
  <si>
    <t>Width m</t>
  </si>
  <si>
    <t>Height/Depth m</t>
  </si>
  <si>
    <t>Rates (from norms)</t>
  </si>
  <si>
    <t>Gross</t>
  </si>
  <si>
    <t>Deductions</t>
  </si>
  <si>
    <t>Net</t>
  </si>
  <si>
    <t>Formula</t>
  </si>
  <si>
    <t>Item</t>
  </si>
  <si>
    <t>Assumption/Question</t>
  </si>
  <si>
    <t>Verified/To verify</t>
  </si>
  <si>
    <t>MATERIALS TAKE-OFF ONLY — NOT A PRICED BOQ (§22)</t>
  </si>
  <si>
    <t>No rate or price column exists in this workbook by design.</t>
  </si>
  <si>
    <t>Citation</t>
  </si>
  <si>
    <t>Basis</t>
  </si>
  <si>
    <t>Strip footing excavation (b = 450mm, d = 600mm) - continuous 34.2m</t>
  </si>
  <si>
    <t>§9 - SANS 1200-A - Jun 2008</t>
  </si>
  <si>
    <t>net</t>
  </si>
  <si>
    <t>Blinding 10 MPa lean concrete 50mm under footings</t>
  </si>
  <si>
    <t>34.2 x 0.45 x 0.05</t>
  </si>
  <si>
    <t>§2 - SANS 10160-1 - edition to confirm</t>
  </si>
  <si>
    <t>assumed</t>
  </si>
  <si>
    <t>A.3</t>
  </si>
  <si>
    <t>Backfill and compact to strip footings</t>
  </si>
  <si>
    <t>A.1 net less B.1 net = 9.23 - 8.46</t>
  </si>
  <si>
    <t>§9 - SANS 10400-E - edition to confirm</t>
  </si>
  <si>
    <t>derived</t>
  </si>
  <si>
    <t>A.4</t>
  </si>
  <si>
    <t>Filling under slab (100-150mm compacted in layers)</t>
  </si>
  <si>
    <t>?</t>
  </si>
  <si>
    <t>plan area x 0.125 - depth not stated on drawings</t>
  </si>
  <si>
    <t>plan</t>
  </si>
  <si>
    <t>A.5</t>
  </si>
  <si>
    <t>Carting away surplus spoil</t>
  </si>
  <si>
    <t>only where surplus spoil is noted on the drawings - omit if not noted</t>
  </si>
  <si>
    <t>by-schedule</t>
  </si>
  <si>
    <t>25 MPa concrete in strip footings (depth 550mm over blinding)</t>
  </si>
  <si>
    <t>34.2 x 0.45 x (0.60 - 0.05)</t>
  </si>
  <si>
    <t>§2 - SANS 10400-D - edition to confirm</t>
  </si>
  <si>
    <t>25 MPa concrete in ground slab</t>
  </si>
  <si>
    <t>plan area x slab thickness - neither stated on drawings</t>
  </si>
  <si>
    <t>B.3</t>
  </si>
  <si>
    <t>Y12 reinforcing in footings (2 Y12 @ 200 each way)</t>
  </si>
  <si>
    <t>15.39 m2 x 10 bars/m x 0.888 kg/m (d2/162)</t>
  </si>
  <si>
    <t>§3 - SANS 10400-D - edition to confirm</t>
  </si>
  <si>
    <t>B.4</t>
  </si>
  <si>
    <t>Y12 bar order - 6 m lengths including laps and offcuts</t>
  </si>
  <si>
    <t>146 kg / 0.888 = 164.6 lin.m / 6 m = 27.4 - round up</t>
  </si>
  <si>
    <t>B.5</t>
  </si>
  <si>
    <t>Cover spacers / chairs to footings</t>
  </si>
  <si>
    <t>34.2 m run / 2 m</t>
  </si>
  <si>
    <t>Double-skin (220mm) standard facing brick walls (SANS 590)</t>
  </si>
  <si>
    <t>net wall area 200 m2 x 104 bricks/m2</t>
  </si>
  <si>
    <t>§1 - SANS 590 - edition to confirm</t>
  </si>
  <si>
    <t>net face</t>
  </si>
  <si>
    <t>C.2</t>
  </si>
  <si>
    <t>Brick lintel course (112mm) over precast and angle lintels</t>
  </si>
  <si>
    <t>one extra course per lintel x 104/m2 - from the door/window schedule</t>
  </si>
  <si>
    <t>§1.3 - SANS 1200-D - Jun 2008</t>
  </si>
  <si>
    <t>D.1</t>
  </si>
  <si>
    <t>Formwork to strip footing sides (2 faces)</t>
  </si>
  <si>
    <t>m2</t>
  </si>
  <si>
    <t>trench width x depth x length x 2 faces = 0.45 x 0.60 x 34.2 x 2</t>
  </si>
  <si>
    <t>§14 - SANS 1200-C - Jun 2008</t>
  </si>
  <si>
    <t>D.2</t>
  </si>
  <si>
    <t>Formwork to footing top</t>
  </si>
  <si>
    <t>omitted - strip is fully blinded</t>
  </si>
  <si>
    <t>D.3</t>
  </si>
  <si>
    <t>Formwork to ground slab edge</t>
  </si>
  <si>
    <t>slab perimeter x slab depth</t>
  </si>
  <si>
    <t>E.1</t>
  </si>
  <si>
    <t>Mortar 1:6 cement to sand - above DPC</t>
  </si>
  <si>
    <t>20800 bricks / 1000 x 0.45 m3 wet per 1000</t>
  </si>
  <si>
    <t>§1.2 - SANS 670 - edition to confirm</t>
  </si>
  <si>
    <t>E.2</t>
  </si>
  <si>
    <t>Cement to mortar 1:6 (50kg bags)</t>
  </si>
  <si>
    <t>bags</t>
  </si>
  <si>
    <t>9.36 x 1.33 = 12.45 m3 dry / 7 = 1.78 m3 / 0.033</t>
  </si>
  <si>
    <t>E.3</t>
  </si>
  <si>
    <t>Building sand to mortar 1:6</t>
  </si>
  <si>
    <t>12.45 m3 dry x 6/7</t>
  </si>
  <si>
    <t>E.4</t>
  </si>
  <si>
    <t>Mortar 1:4 cement to sand - below DPC / exposed</t>
  </si>
  <si>
    <t>split of E.1 between 1:6 and 1:4 depends on the DPC line - not shown</t>
  </si>
  <si>
    <t>F.1</t>
  </si>
  <si>
    <t>Internal plaster 1:4 at 12mm - 2 coats</t>
  </si>
  <si>
    <t>internal wall area less openings over 1 m2</t>
  </si>
  <si>
    <t>§5 - SANS 10400-D - edition to confirm</t>
  </si>
  <si>
    <t>F.2</t>
  </si>
  <si>
    <t>External plaster 1:3 at 15mm - 2 coats</t>
  </si>
  <si>
    <t>external wall gross face less openings over 1 m2</t>
  </si>
  <si>
    <t>gross face</t>
  </si>
  <si>
    <t>F.3</t>
  </si>
  <si>
    <t>Cement to internal plaster 1:4 at 12mm</t>
  </si>
  <si>
    <t>area x 0.012 x 1.33 / 5 / 0.033 - round up to whole bags</t>
  </si>
  <si>
    <t>§5.1 - SANS 10400-D - edition to confirm</t>
  </si>
  <si>
    <t>F.4</t>
  </si>
  <si>
    <t>Sand to internal plaster 1:4 at 12mm</t>
  </si>
  <si>
    <t>area x 0.012 x 1.33 x 4/5 - round up to 0.5 m3</t>
  </si>
  <si>
    <t>G.1</t>
  </si>
  <si>
    <t>Floor screed 1:4 at 30mm bonded</t>
  </si>
  <si>
    <t>floor area x 0.030 - its own item, not absorbed into tiling</t>
  </si>
  <si>
    <t>§6 - SANS 121 - edition to confirm</t>
  </si>
  <si>
    <t>G.2</t>
  </si>
  <si>
    <t>Cement to screed 1:4</t>
  </si>
  <si>
    <t>area x 0.030 x 1.33 / 5 / 0.033 - round up to whole bags</t>
  </si>
  <si>
    <t>§6.1 - SANS 121 - edition to confirm</t>
  </si>
  <si>
    <t>G.3</t>
  </si>
  <si>
    <t>Sand to screed 1:4</t>
  </si>
  <si>
    <t>area x 0.030 x 1.33 x 4/5 - round up to 0.5 m3</t>
  </si>
  <si>
    <t>H.1</t>
  </si>
  <si>
    <t>Floor tiles</t>
  </si>
  <si>
    <t>floor area less openings over 1 m2 x 1/(L x W)</t>
  </si>
  <si>
    <t>§7 - SANS 1544 - edition to confirm</t>
  </si>
  <si>
    <t>H.2</t>
  </si>
  <si>
    <t>Tile adhesive at 4 kg/m2</t>
  </si>
  <si>
    <t>tiled area x 4 kg - pack size to confirm</t>
  </si>
  <si>
    <t>H.3</t>
  </si>
  <si>
    <t>Tile grout at 0.8 kg/m2</t>
  </si>
  <si>
    <t>tiled area x 0.8 kg - 2-3 kg for 20mm joints</t>
  </si>
  <si>
    <t>I.1</t>
  </si>
  <si>
    <t>DPM under slab (0.15mm LDPE)</t>
  </si>
  <si>
    <t>slab area x 1.10 laps</t>
  </si>
  <si>
    <t>§8 - SANS 10400-E - edition to confirm</t>
  </si>
  <si>
    <t>I.2</t>
  </si>
  <si>
    <t>Sand blinding 50mm compacted under DPM</t>
  </si>
  <si>
    <t>slab area x 0.05 - SEPARATE item, not absorbed into I.1</t>
  </si>
  <si>
    <t>I.3</t>
  </si>
  <si>
    <t>DPC strip 300mm wide at 150mm above finished ground</t>
  </si>
  <si>
    <t>lin. m</t>
  </si>
  <si>
    <t>full wall length</t>
  </si>
  <si>
    <t>I.4</t>
  </si>
  <si>
    <t>DPC to openings and cavity trays</t>
  </si>
  <si>
    <t>1 tray per opening - from the door/window schedule</t>
  </si>
  <si>
    <t>J.1</t>
  </si>
  <si>
    <t>IBR roof sheeting 0.5mm</t>
  </si>
  <si>
    <t>roof plan area x pitch factor (1/cos) x 1.10</t>
  </si>
  <si>
    <t>§4 - SANS 1200-H - Jun 2008</t>
  </si>
  <si>
    <t>slope</t>
  </si>
  <si>
    <t>J.2</t>
  </si>
  <si>
    <t>IBR sheeting - sheet order</t>
  </si>
  <si>
    <t>J.1 order qty / 0.686 effective cover - round up</t>
  </si>
  <si>
    <t>§4 - SANS 10400-H - edition to confirm</t>
  </si>
  <si>
    <t>J.3</t>
  </si>
  <si>
    <t>Ridge capping</t>
  </si>
  <si>
    <t>ridge length + 10% laps</t>
  </si>
  <si>
    <t>§4.1 - SANS 1200-H - Jun 2008</t>
  </si>
  <si>
    <t>developed girth</t>
  </si>
  <si>
    <t>J.4</t>
  </si>
  <si>
    <t>Flashings to walls / chimney / vents</t>
  </si>
  <si>
    <t>girth developed; parapets = 2 x length</t>
  </si>
  <si>
    <t>K.1</t>
  </si>
  <si>
    <t>Roof sheeting fasteners - Tek 65/90mm + bonded washer</t>
  </si>
  <si>
    <t>3 per sheet per purlin; purlin spacing 1200mm max</t>
  </si>
  <si>
    <t>K.2</t>
  </si>
  <si>
    <t>Roof purlins 76 x 76 at 1200mm c/c</t>
  </si>
  <si>
    <t>0.83 lin.m per m2 of SLOPE area (§13.1 cross-check)</t>
  </si>
  <si>
    <t>§15 - SANS 10400-H - edition to confirm</t>
  </si>
  <si>
    <t>K.3</t>
  </si>
  <si>
    <t>Roof trusses</t>
  </si>
  <si>
    <t>counted from the plan / truss schedule - never from roof area</t>
  </si>
  <si>
    <t>L.1</t>
  </si>
  <si>
    <t>Gutters 100mm half-round PVC</t>
  </si>
  <si>
    <t>plan eave length + 10% corners and joints</t>
  </si>
  <si>
    <t>§17 - SANS 1200-H - Jun 2008</t>
  </si>
  <si>
    <t>L.2</t>
  </si>
  <si>
    <t>Downpipes 50mm round PVC</t>
  </si>
  <si>
    <t>roof plan area / 50 - VERTICAL drop only</t>
  </si>
  <si>
    <t>L.3</t>
  </si>
  <si>
    <t>Hopper heads / shoes / splash blocks</t>
  </si>
  <si>
    <t>1 per downpipe each</t>
  </si>
  <si>
    <t>§17 - SANS 1200-H - edition to confirm</t>
  </si>
  <si>
    <t>M.1</t>
  </si>
  <si>
    <t>Internal door leaves 813 x 2032mm</t>
  </si>
  <si>
    <t>from the door schedule - never off plan geometry</t>
  </si>
  <si>
    <t>§10 - SANS 1200-J - Jun 2008</t>
  </si>
  <si>
    <t>M.2</t>
  </si>
  <si>
    <t>Precast concrete lintels - next stock length up</t>
  </si>
  <si>
    <t>clear opening + 150mm each side; stock 900-2400mm</t>
  </si>
  <si>
    <t>M.3</t>
  </si>
  <si>
    <t>Door and window frames</t>
  </si>
  <si>
    <t>opening perimeter + 2 x 60mm lining per reveal</t>
  </si>
  <si>
    <t>§20 - SANS 1200-J - Jun 2008</t>
  </si>
  <si>
    <t>M.4</t>
  </si>
  <si>
    <t>Ironmongery sets</t>
  </si>
  <si>
    <t>1 set per door leaf; state what a set comprises</t>
  </si>
  <si>
    <t>by-client-spec</t>
  </si>
  <si>
    <t>N.1</t>
  </si>
  <si>
    <t>Roof insulation - plan area</t>
  </si>
  <si>
    <t>PLAN area at the stated thickness grade - R-value stated</t>
  </si>
  <si>
    <t>§19 - SANS 10400-XA - edition to confirm</t>
  </si>
  <si>
    <t>N.2</t>
  </si>
  <si>
    <t>Wall insulation - gross face</t>
  </si>
  <si>
    <t>gross face area before openings</t>
  </si>
  <si>
    <t>P.1</t>
  </si>
  <si>
    <t>Water pipe trench excavation</t>
  </si>
  <si>
    <t>length x (pipe dia + 300mm) x depth</t>
  </si>
  <si>
    <t>§16 - SANS 1200-P - Jun 2008</t>
  </si>
  <si>
    <t>P.2</t>
  </si>
  <si>
    <t>Soil / waste pipe lengths</t>
  </si>
  <si>
    <t>centreline run + 5% for fittings and joints</t>
  </si>
  <si>
    <t>§16 - SANS 1200-Q - Jun 2008</t>
  </si>
  <si>
    <t>P.3</t>
  </si>
  <si>
    <t>Pipe bedding 75mm compacted sand</t>
  </si>
  <si>
    <t>separate item - not absorbed into the trench</t>
  </si>
  <si>
    <t>P.4</t>
  </si>
  <si>
    <t>Trench backfill and compact</t>
  </si>
  <si>
    <t>trench volume less pipe and bedding</t>
  </si>
  <si>
    <t>P.5</t>
  </si>
  <si>
    <t>Sanitary ware / fittings / valves</t>
  </si>
  <si>
    <t>NOT measurable from an architectural plan alone</t>
  </si>
  <si>
    <t>§12 - SANS 10400-FA - edition to confirm</t>
  </si>
  <si>
    <t>n/a</t>
  </si>
  <si>
    <t>P.6</t>
  </si>
  <si>
    <t>Electrical outlets / switches / lighting</t>
  </si>
  <si>
    <t>§12 - SANS 10400-FH - edition to confirm</t>
  </si>
  <si>
    <t>Q.1</t>
  </si>
  <si>
    <t>Paving</t>
  </si>
  <si>
    <t>plan area + 10% - confirm supply vs install scope</t>
  </si>
  <si>
    <t>§21 - edition to confirm</t>
  </si>
  <si>
    <t>Q.2</t>
  </si>
  <si>
    <t>Kerbing</t>
  </si>
  <si>
    <t>edge length per profile</t>
  </si>
  <si>
    <t>Q.3</t>
  </si>
  <si>
    <t>Fencing - palisade</t>
  </si>
  <si>
    <t>posts at 1.8m c/c -&gt; No. = lin.m / 1.8 + 1</t>
  </si>
  <si>
    <t>Q.4</t>
  </si>
  <si>
    <t>Topsoil stripping</t>
  </si>
  <si>
    <t>area x 50-100mm stripping depth</t>
  </si>
  <si>
    <t>X.1</t>
  </si>
  <si>
    <t>Labour and setting-out</t>
  </si>
  <si>
    <t>excluded</t>
  </si>
  <si>
    <t>excluded from scope - §22.1</t>
  </si>
  <si>
    <t>§22</t>
  </si>
  <si>
    <t>X.2</t>
  </si>
  <si>
    <t>Plant / scaffolding / access equipment</t>
  </si>
  <si>
    <t>excluded from scope - §22.2</t>
  </si>
  <si>
    <t>X.3</t>
  </si>
  <si>
    <t>Contractor margin / prelims / overheads</t>
  </si>
  <si>
    <t>excluded from scope - §22.3</t>
  </si>
  <si>
    <t>X.4</t>
  </si>
  <si>
    <t>VAT and any tax</t>
  </si>
  <si>
    <t>excluded from scope - §22.4</t>
  </si>
  <si>
    <t>X.5</t>
  </si>
  <si>
    <t>Provisional sums / prime cost items</t>
  </si>
  <si>
    <t>excluded from scope - §22.5</t>
  </si>
  <si>
    <t>X.6</t>
  </si>
  <si>
    <t>Loading / carting away / disposal</t>
  </si>
  <si>
    <t>excluded from scope - §22.6</t>
  </si>
  <si>
    <t>X.7</t>
  </si>
  <si>
    <t>Protection / cleaning / making good</t>
  </si>
  <si>
    <t>excluded from scope - §22.7</t>
  </si>
  <si>
    <t>X.8</t>
  </si>
  <si>
    <t>Survey / geotechnical / soil classification</t>
  </si>
  <si>
    <t>excluded from scope - §22.8</t>
  </si>
  <si>
    <t>X.9</t>
  </si>
  <si>
    <t>Structural engineering and shoring design</t>
  </si>
  <si>
    <t>excluded from scope - §22.9</t>
  </si>
  <si>
    <t>X.10</t>
  </si>
  <si>
    <t>Building regs / NHBRC submission fees</t>
  </si>
  <si>
    <t>excluded from scope - §22.10</t>
  </si>
  <si>
    <t>X.11</t>
  </si>
  <si>
    <t>Escalation / price fluctuations / currency</t>
  </si>
  <si>
    <t>excluded from scope - §22.11</t>
  </si>
  <si>
    <t>X.12</t>
  </si>
  <si>
    <t>Any by-schedule or by-client-spec item with no schedule</t>
  </si>
  <si>
    <t>excluded from scope - §22.12</t>
  </si>
  <si>
    <t>Trades</t>
  </si>
  <si>
    <t>Order Qty (incl. wastage)</t>
  </si>
  <si>
    <t>Formwork</t>
  </si>
  <si>
    <t>Mortar / cement / sand - see E.1 to E.4</t>
  </si>
  <si>
    <t>mixed</t>
  </si>
  <si>
    <t>Plaster / screed / tiling - by-schedule</t>
  </si>
  <si>
    <t>Roof sheeting &amp; rainwater goods - by-schedule</t>
  </si>
  <si>
    <t>Services - all by-schedule</t>
  </si>
  <si>
    <t>Siteworks - all by-schedule</t>
  </si>
  <si>
    <t>Excluded (§22)</t>
  </si>
  <si>
    <t>Pitch factor</t>
  </si>
  <si>
    <t>Bulking factor</t>
  </si>
  <si>
    <t>Rounding / Order Qty</t>
  </si>
  <si>
    <t>Example - strip footing excavation</t>
  </si>
  <si>
    <t>§9</t>
  </si>
  <si>
    <t>9.23 m3</t>
  </si>
  <si>
    <t>Example - strip footing concrete</t>
  </si>
  <si>
    <t>§2</t>
  </si>
  <si>
    <t>34.2 x 0.45 x (0.60 - 0.05 blinding)</t>
  </si>
  <si>
    <t>8.46 m3</t>
  </si>
  <si>
    <t>Example - footing reinforcement</t>
  </si>
  <si>
    <t>§3 - Y12 = 0.888 kg/m</t>
  </si>
  <si>
    <t>area x 10 bars/m @ 200 c/c</t>
  </si>
  <si>
    <t>136.66 kg -&gt; 28 No. 6m bars</t>
  </si>
  <si>
    <t>Example - brickwork wall area - carried from the original draft; wall length/height NOT re-derived</t>
  </si>
  <si>
    <t>§1 - 104 bricks/m2</t>
  </si>
  <si>
    <t>gross less openings in FULL - no threshold (§1.3)</t>
  </si>
  <si>
    <t>20800 No. -&gt; 22880 No. incl. 10%</t>
  </si>
  <si>
    <t>Example - mortar wet to dry</t>
  </si>
  <si>
    <t>§1.1 - 0.45 m3 per 1000 bricks</t>
  </si>
  <si>
    <t>20800 / 1000 x 0.45 wet then x 1.33 = 12.45 m3 dry</t>
  </si>
  <si>
    <t>10.30 m3 wet order</t>
  </si>
  <si>
    <t>Blinding taken as 10 MPa lean concrete (§2 table) not the 15 MPa originally drafted</t>
  </si>
  <si>
    <t>To verify</t>
  </si>
  <si>
    <t>Blinding thickness 50mm - not dimensioned on the drawings</t>
  </si>
  <si>
    <t>Depth to founding 600mm - §9 states this must come from the foundation notes and is never assumed</t>
  </si>
  <si>
    <t>To verify - question for the engineer</t>
  </si>
  <si>
    <t>Backfill = excavation less footing concrete (§9 default deduction convention)</t>
  </si>
  <si>
    <t>Slab filling depth 100-150mm not stated - 125mm used as the mid-point</t>
  </si>
  <si>
    <t>Surplus spoil not noted - carting away omitted rather than guessed</t>
  </si>
  <si>
    <t>25 MPa per §2 for reinforced elements - strength not read from drawings</t>
  </si>
  <si>
    <t>Reinforcement 136.66 kg is BELOW the §3 sanity band for footings (20-40 kg/m3 = 169-338 kg)</t>
  </si>
  <si>
    <t>To verify - refer to the engineer</t>
  </si>
  <si>
    <t>Bar schedule not supplied - 2 Y12 @ 200 each way carried from the drafted description</t>
  </si>
  <si>
    <t>Cover spacers at 1 per 2 m of footing run</t>
  </si>
  <si>
    <t>220mm is double-skin not single-skin - description corrected; 104 bricks/m2 rate per §1 stands</t>
  </si>
  <si>
    <t>Verified</t>
  </si>
  <si>
    <t>Net wall area 200 m2 is carried from the original draft. A 34.2 m footing run at 2.40 m high gives only 82 m2 gross, so the 200 m2 implies a larger/different building. Area NOT re-derived - re-measure from the plan</t>
  </si>
  <si>
    <t>Rate source SANS 590 edition is "to confirm" (§0.1) so this row carries a citation-gate assumption</t>
  </si>
  <si>
    <t>Lintel course 112mm - count depends on the door/window schedule</t>
  </si>
  <si>
    <t>Formwork = contact area per §14; footing top omitted as fully blinded</t>
  </si>
  <si>
    <t>Mortar 0.45 m3 per 1000 bricks per §1.1 - supersedes the legacy 0.37 m3 figure</t>
  </si>
  <si>
    <t>Mortar derived from the NET brick count with wastage applied once to E.1-E.3 - not stacked on the brick wastage</t>
  </si>
  <si>
    <t>Cement = dry mortar / (1 + r) then / 0.033; no bulking factor on cement (§13 rule 11)</t>
  </si>
  <si>
    <t>Split of mortar between 1:6 above DPC and 1:4 below DPC unknown - DPC line not shown. Quantity left as ? rather than guessed</t>
  </si>
  <si>
    <t>All</t>
  </si>
  <si>
    <t>Every row citing a standard marked "edition to confirm" in §0.1 carries a citation-gate assumption</t>
  </si>
  <si>
    <t>Every "?" quantity is a dimension that is absent or unreadable - none were filled by guess (§13 rule 2)</t>
  </si>
  <si>
    <t>All MEP and siteworks rows are by-schedule - never omitted, never a count invented (§12)</t>
  </si>
  <si>
    <t>Norm §</t>
  </si>
  <si>
    <t>Value used</t>
  </si>
  <si>
    <t>SANS citation</t>
  </si>
  <si>
    <t>Edition</t>
  </si>
  <si>
    <t>§0.1</t>
  </si>
  <si>
    <t>50kg cement bag = 0.033 m3 loose; mortar wet-to-dry x1.33 applied once; bar mass = d2/162 kg/m</t>
  </si>
  <si>
    <t>SANS 1200-A</t>
  </si>
  <si>
    <t>§0.2</t>
  </si>
  <si>
    <t>Roof pitch factor = 1/cos(pitch); 1.004 at 5deg rising to 1.305 at 40deg; lowest pitch per plane</t>
  </si>
  <si>
    <t>SANS 1200-H</t>
  </si>
  <si>
    <t>Wastage - concrete 10% / brickwork 10% / mortar-plaster-screed 10% / rebar 7% / mesh 10% / sheeting 10% / timber 10% / tiles 10% / sand blinding 10%</t>
  </si>
  <si>
    <t>Rounding - counts UP to whole units; volumes and areas to 2 dp; round once at the end</t>
  </si>
  <si>
    <t>Minimum order - cement by whole tonnes (20 bags); sand by 0.5 m3; mesh by whole sheets; rebar by whole 6m/12m bars; tiles by whole boxes</t>
  </si>
  <si>
    <t>§1</t>
  </si>
  <si>
    <t>Standard facing brick 222 x 106 x 73 work size with 10mm joints; double-skin 220mm = 104 bricks/m2; single-skin 110mm = 52 bricks/m2</t>
  </si>
  <si>
    <t>SANS 590</t>
  </si>
  <si>
    <t>edition to confirm</t>
  </si>
  <si>
    <t>§1.1</t>
  </si>
  <si>
    <t>Mortar 0.45 m3 per 1000 standard bricks (bed joint + 2 head joints + frog infill)</t>
  </si>
  <si>
    <t>SANS 1200-D</t>
  </si>
  <si>
    <t>§1.2</t>
  </si>
  <si>
    <t>Per 1000 bricks dry mortar 0.60 m3; 1:6 = 3 bags + 0.51 m3 sand; 1:4 = 4 bags + 0.48 m3 sand</t>
  </si>
  <si>
    <t>SANS 670</t>
  </si>
  <si>
    <t>§1.3</t>
  </si>
  <si>
    <t>Brickwork deducted in FULL - no threshold; openings below 0.1 m2 need not be deducted</t>
  </si>
  <si>
    <t>One extra lintel course (112mm) over every precast or steel angle lintel</t>
  </si>
  <si>
    <t>10 MPa lean/blinding = 4 bags + 0.80 + 0.80; 15 MPa = 5.5 bags + 0.75 + 0.75; 25 MPa = 7 bags + 0.70 + 0.70; 30 MPa = 10 bags + 0.65 + 0.65</t>
  </si>
  <si>
    <t>SANS 10160-1 / -3</t>
  </si>
  <si>
    <t>Cube strengths per SANS 10160 and SANS 10400-D - do not convert to cylinder values</t>
  </si>
  <si>
    <t>SANS 10400-D</t>
  </si>
  <si>
    <t>Mix selection follows the strength noted on the drawings; record any substitution in the Verify block</t>
  </si>
  <si>
    <t>§3</t>
  </si>
  <si>
    <t>Y12 = 0.888 kg/m; order whole 6m/12m bars; Y lap = 40 x dia = 480mm</t>
  </si>
  <si>
    <t>Sanity band - footings 20-40 kg/m3; slabs 60-110 kg/m3; beams and columns 80-150 kg/m3</t>
  </si>
  <si>
    <t>Cover to reinforcement - footing or slab to earth 50mm</t>
  </si>
  <si>
    <t>§4</t>
  </si>
  <si>
    <t>IBR effective cover 686mm; slope area = plan area x pitch factor; add 10% for laps and offcuts</t>
  </si>
  <si>
    <t>§4.1</t>
  </si>
  <si>
    <t>Sheeting measured separately from ridge capping / flashings / gutters / downpipes / insulation</t>
  </si>
  <si>
    <t>§5</t>
  </si>
  <si>
    <t>Plaster - internal 10-12mm; external 15-20mm; 2 coats wherever the total exceeds 15mm</t>
  </si>
  <si>
    <t>Plaster deducted for openings over 1 m2 only - a DIFFERENT rule from the §1.3 masonry full deduction</t>
  </si>
  <si>
    <t>SANS 1200-E</t>
  </si>
  <si>
    <t>§5.1</t>
  </si>
  <si>
    <t>Per 100 m2 at 15mm - 1:3 = 16 bags + 1.50 m3 sand; 1:4 = 13 bags + 1.60 m3 sand (supersedes 14 bags + 2.25 m3)</t>
  </si>
  <si>
    <t>§6</t>
  </si>
  <si>
    <t>Screed - bonded 25-30mm; site mix 1:4 = 8 bags + 1.06 m3 sand per m3</t>
  </si>
  <si>
    <t>SANS 121</t>
  </si>
  <si>
    <t>Screed under a finish is measured as its own item - never absorbed into the tiling item</t>
  </si>
  <si>
    <t>SANS 1200-F</t>
  </si>
  <si>
    <t>§7</t>
  </si>
  <si>
    <t>Tile pieces/m2 = 1/(L x W); adhesive 4 kg/m2 floor and 3 kg/m2 wall; grout 0.8 kg/m2</t>
  </si>
  <si>
    <t>SANS 1544</t>
  </si>
  <si>
    <t>§8</t>
  </si>
  <si>
    <t>Sand blinding 50mm under a DPM is a SEPARATE item; vertical DPC continues under and behind wall sills</t>
  </si>
  <si>
    <t>SANS 10400-E</t>
  </si>
  <si>
    <t>Excavate / dispose of surplus / backfill and compact each measured as their own item</t>
  </si>
  <si>
    <t>Depth to founding is never assumed - take from the foundation notes or state an assumption</t>
  </si>
  <si>
    <t>§10</t>
  </si>
  <si>
    <t>Precast lintel required length = clear opening + 150mm each side; order the next stock length up</t>
  </si>
  <si>
    <t>SANS 1200-J</t>
  </si>
  <si>
    <t>The lintel course is brickwork and the lintel itself is a separate item - never both</t>
  </si>
  <si>
    <t>§11</t>
  </si>
  <si>
    <t>Paint is measured on the plastered area, not the structural area</t>
  </si>
  <si>
    <t>SANS 10400-P</t>
  </si>
  <si>
    <t>§12</t>
  </si>
  <si>
    <t>MEP is not measurable from an architectural plan - mark by-schedule, never omit, never invent</t>
  </si>
  <si>
    <t>SANS 10400-FA-FH</t>
  </si>
  <si>
    <t>§13.1</t>
  </si>
  <si>
    <t>Self-check volume chain - footing = excavation less backfill +/- formwork voids; tolerance +/- 3%</t>
  </si>
  <si>
    <t>§14</t>
  </si>
  <si>
    <t>Formwork is measured in m2 of CONTACT area, itemized per element type; timber +10%</t>
  </si>
  <si>
    <t>SANS 1200-C</t>
  </si>
  <si>
    <t>§15</t>
  </si>
  <si>
    <t>Purlin lin.m = 0.83 per m2 of SLOPE area at 1200mm c/c; trusses counted from the plan</t>
  </si>
  <si>
    <t>§16</t>
  </si>
  <si>
    <t>Trench = length x (pipe dia + 300mm) x depth; 75mm sand bedding is a separate item</t>
  </si>
  <si>
    <t>SANS 1200-P / -Q</t>
  </si>
  <si>
    <t>§17</t>
  </si>
  <si>
    <t>Downpipe lin.m = roof PLAN area / 50; gutter = plan eave length + 10%; separate from the sheeting</t>
  </si>
  <si>
    <t>§19</t>
  </si>
  <si>
    <t>Roof insulation on PLAN area, never on slope area; thickness is a compliance calculation not a take-off</t>
  </si>
  <si>
    <t>SANS 10400-X / -XA</t>
  </si>
  <si>
    <t>Materials only - the 12 exclusions are listed in the Output sheet</t>
  </si>
  <si>
    <t>§23</t>
  </si>
  <si>
    <t>Output contract - workbook layout and the six-value status vocabulary</t>
  </si>
  <si>
    <t>=========================================================</t>
  </si>
  <si>
    <t>BLOCK 1 - VERIFY BEFORE ORDERING</t>
  </si>
  <si>
    <t>Everything unresolved on the Assumptions &amp; Verify sheet, plus:</t>
  </si>
  <si>
    <t>- Depth to founding 600mm - no foundation note supplied. §9: a question for the engineer,</t>
  </si>
  <si>
    <t>not an estimate. Nothing below founding level should be ordered until this is answered.</t>
  </si>
  <si>
    <t>- Footing reinforcement is below the §3 sanity band - engineer to confirm the bar schedule.</t>
  </si>
  <si>
    <t>- The DPC line is not shown, so the 1:6 / 1:4 mortar split cannot be quantified.</t>
  </si>
  <si>
    <t>- The 200 m2 net wall area behind C.1 was carried from the original draft and does not</t>
  </si>
  <si>
    <t>reconcile with a 34.2 m footing run. Re-measure the wall area before ordering bricks - the</t>
  </si>
  <si>
    <t>mortar, cement and sand rows E.1 to E.3 all scale directly off it.</t>
  </si>
  <si>
    <t>- SANS 590, 10160-1, 10400-D, 670, 121 and 1544 editions are all "to confirm" in the §0.1</t>
  </si>
  <si>
    <t>register. Under the citation gate every rate drawn from them is an assumption.</t>
  </si>
  <si>
    <t>- No MEP or siteworks drawing supplied - all such rows stand at by-schedule.</t>
  </si>
  <si>
    <t>BLOCK 2 - ASSUMED NORMS USED</t>
  </si>
  <si>
    <t>- §0.2 wastage defaults used where the drawings state none: concrete 10%, brickwork 10%,</t>
  </si>
  <si>
    <t>mortar 10%, rebar 7%, formwork timber 10%, sand blinding 10%.</t>
  </si>
  <si>
    <t>- §0.2 rounding and minimum-order increments applied - whole bars, whole bags, 0.5 m3 sand.</t>
  </si>
  <si>
    <t>- §2 default mix selection: 25 MPa for reinforced elements and 10 MPa for blinding, no</t>
  </si>
  <si>
    <t>strength being noted on the drawings. Both substitutions recorded per §2.</t>
  </si>
  <si>
    <t>- §3 default 50mm cover to footing reinforcement; spacers at 1 per 2 m of run.</t>
  </si>
  <si>
    <t>- §9 default deduction convention: excavate to the formation level shown, backfill =</t>
  </si>
  <si>
    <t>excavation less footing concrete.</t>
  </si>
  <si>
    <t>- §1.1 mortar 0.45 m3/1000 bricks and §5.1 plaster bag rates were used as derived. The</t>
  </si>
  <si>
    <t>superseded 0.37 m3 mortar and 14-bag plaster figures were not used anywhere.</t>
  </si>
  <si>
    <t>BLOCK 3 - ITEMS EXCLUDED FROM SCOPE (§22)</t>
  </si>
  <si>
    <t>1. Labour and setting-out.</t>
  </si>
  <si>
    <t>2. Plant, scaffolding and access equipment.</t>
  </si>
  <si>
    <t>3. Contractor's margin, preliminaries and overheads.</t>
  </si>
  <si>
    <t>4. VAT and any tax.</t>
  </si>
  <si>
    <t>5. Provisional sums, prime cost items and allowances.</t>
  </si>
  <si>
    <t>6. Loading, carting away and disposal of surplus spoil or debris.</t>
  </si>
  <si>
    <t>7. Protection of the works, cleaning and making good.</t>
  </si>
  <si>
    <t>8. Survey, geotechnical investigation and soil classification.</t>
  </si>
  <si>
    <t>9. Structural engineering design and shoring design.</t>
  </si>
  <si>
    <t>10. Building regulations / NHBRC submission fees.</t>
  </si>
  <si>
    <t>11. Escalation, price fluctuations and currency movements.</t>
  </si>
  <si>
    <t>12. Any item marked by-schedule or by-client-spec without a schedule supplied.</t>
  </si>
  <si>
    <t>This workbook is a MATERIALS TAKE-OFF. It is not a priced BOQ and must not be</t>
  </si>
  <si>
    <t>submitted or read as one. There is no rate or price column anywhere in this</t>
  </si>
  <si>
    <t>workbook by design - the norms are materials-only (§22).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</si>
</sst>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7" fontId="0" fillId="0" borderId="0" xfId="0" applyNumberFormat="1"/>
    <xf numFmtId="14" fontId="0" fillId="0" borderId="0" xfId="0" applyNumberFormat="1"/>
    <xf numFmtId="49" fontId="0" fillId="0" borderId="0" xfId="0" quotePrefix="1" applyNumberFormat="1"/>
    <xf numFmtId="49" fontId="0" fillId="3" borderId="0" xfId="0" applyNumberFormat="1" applyFill="1"/>
    <xf numFmtId="49" fontId="0" fillId="0" borderId="0" xfId="0" applyNumberFormat="1" applyFont="1"/>
    <xf numFmtId="49" fontId="0" fillId="0" borderId="0" xfId="0" quotePrefix="1" applyNumberFormat="1" applyFont="1"/>
    <xf numFmtId="49" fontId="0" fillId="3" borderId="0" xfId="0" applyNumberFormat="1" applyFont="1" applyFill="1"/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9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Desousa" id="{7C1A5093-D2EF-4BCD-918A-580A606EE22D}" userId="S::ddesousa@buco.co.za::563b486b-a1d6-4799-a8a0-b35fa764cb76" providerId="AD"/>
</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10-01T10:54:07.15" personId="{7C1A5093-D2EF-4BCD-918A-580A606EE22D}" id="{28DD96D1-7941-4A2C-8F7B-1DAFF4761D48}">
    <text>Legend: Section — One of: verify | assumed-norm | exclusion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701F-9BC3-4BB0-AFE6-DFCE13CBB6DF}">
  <dimension ref="A1:E15"/>
  <sheetViews>
    <sheetView tabSelected="1" workbookViewId="0">
      <selection activeCell="D27" sqref="D27"/>
    </sheetView>
  </sheetViews>
  <sheetFormatPr defaultRowHeight="13.2" x14ac:dyDescent="0.25"/>
  <cols>
    <col min="1" max="1" width="48.109375" customWidth="1"/>
    <col min="2" max="2" width="16.6640625" customWidth="1"/>
    <col min="3" max="3" width="14.77734375" customWidth="1"/>
    <col min="4" max="4" width="26.88671875" customWidth="1"/>
    <col min="5" max="5" width="20.33203125" customWidth="1"/>
  </cols>
  <sheetData>
    <row r="1" spans="1:5" x14ac:dyDescent="0.25">
      <c r="A1" s="1" t="s">
        <v>33</v>
      </c>
      <c r="B1" s="1"/>
      <c r="C1" s="1"/>
      <c r="D1" s="1"/>
      <c r="E1" s="1"/>
    </row>
    <row r="2" spans="1:5" x14ac:dyDescent="0.25">
      <c r="A2" t="s">
        <v>34</v>
      </c>
    </row>
    <row r="4" spans="1:5" x14ac:dyDescent="0.25">
      <c r="A4" s="2" t="s">
        <v>289</v>
      </c>
      <c r="B4" s="2" t="s">
        <v>3</v>
      </c>
      <c r="C4" s="2" t="s">
        <v>2</v>
      </c>
      <c r="D4" s="2" t="s">
        <v>290</v>
      </c>
      <c r="E4" s="2" t="s">
        <v>6</v>
      </c>
    </row>
    <row r="5" spans="1:5" x14ac:dyDescent="0.25">
      <c r="A5" s="5" t="s">
        <v>17</v>
      </c>
      <c r="B5">
        <v>9.23</v>
      </c>
      <c r="C5" t="s">
        <v>8</v>
      </c>
      <c r="D5">
        <v>10.16</v>
      </c>
      <c r="E5" t="s">
        <v>48</v>
      </c>
    </row>
    <row r="6" spans="1:5" x14ac:dyDescent="0.25">
      <c r="A6" s="5" t="s">
        <v>18</v>
      </c>
      <c r="B6">
        <v>8.4600000000000009</v>
      </c>
      <c r="C6" t="s">
        <v>8</v>
      </c>
      <c r="D6">
        <v>9.31</v>
      </c>
      <c r="E6" t="s">
        <v>48</v>
      </c>
    </row>
    <row r="7" spans="1:5" x14ac:dyDescent="0.25">
      <c r="A7" s="5" t="s">
        <v>19</v>
      </c>
      <c r="B7">
        <v>136.66</v>
      </c>
      <c r="C7" t="s">
        <v>14</v>
      </c>
      <c r="D7">
        <v>146</v>
      </c>
      <c r="E7" t="s">
        <v>48</v>
      </c>
    </row>
    <row r="8" spans="1:5" x14ac:dyDescent="0.25">
      <c r="A8" s="5" t="s">
        <v>291</v>
      </c>
      <c r="B8">
        <v>18.47</v>
      </c>
      <c r="C8" t="s">
        <v>83</v>
      </c>
      <c r="D8">
        <v>20.32</v>
      </c>
      <c r="E8" t="s">
        <v>48</v>
      </c>
    </row>
    <row r="9" spans="1:5" x14ac:dyDescent="0.25">
      <c r="A9" s="5" t="s">
        <v>20</v>
      </c>
      <c r="B9">
        <v>20800</v>
      </c>
      <c r="C9" t="s">
        <v>16</v>
      </c>
      <c r="D9">
        <v>22880</v>
      </c>
      <c r="E9" t="s">
        <v>10</v>
      </c>
    </row>
    <row r="10" spans="1:5" x14ac:dyDescent="0.25">
      <c r="A10" s="5" t="s">
        <v>292</v>
      </c>
      <c r="B10" t="s">
        <v>293</v>
      </c>
      <c r="C10" t="s">
        <v>293</v>
      </c>
      <c r="D10" t="s">
        <v>293</v>
      </c>
      <c r="E10" t="s">
        <v>48</v>
      </c>
    </row>
    <row r="11" spans="1:5" x14ac:dyDescent="0.25">
      <c r="A11" s="5" t="s">
        <v>294</v>
      </c>
      <c r="B11" t="s">
        <v>51</v>
      </c>
      <c r="C11" t="s">
        <v>293</v>
      </c>
      <c r="D11" t="s">
        <v>51</v>
      </c>
      <c r="E11" t="s">
        <v>57</v>
      </c>
    </row>
    <row r="12" spans="1:5" x14ac:dyDescent="0.25">
      <c r="A12" s="5" t="s">
        <v>295</v>
      </c>
      <c r="B12" t="s">
        <v>51</v>
      </c>
      <c r="C12" t="s">
        <v>293</v>
      </c>
      <c r="D12" t="s">
        <v>51</v>
      </c>
      <c r="E12" t="s">
        <v>57</v>
      </c>
    </row>
    <row r="13" spans="1:5" x14ac:dyDescent="0.25">
      <c r="A13" s="5" t="s">
        <v>296</v>
      </c>
      <c r="B13" t="s">
        <v>51</v>
      </c>
      <c r="C13" t="s">
        <v>293</v>
      </c>
      <c r="D13" t="s">
        <v>51</v>
      </c>
      <c r="E13" t="s">
        <v>57</v>
      </c>
    </row>
    <row r="14" spans="1:5" x14ac:dyDescent="0.25">
      <c r="A14" s="5" t="s">
        <v>297</v>
      </c>
      <c r="B14" t="s">
        <v>51</v>
      </c>
      <c r="C14" t="s">
        <v>293</v>
      </c>
      <c r="D14" t="s">
        <v>51</v>
      </c>
      <c r="E14" t="s">
        <v>57</v>
      </c>
    </row>
    <row r="15" spans="1:5" x14ac:dyDescent="0.25">
      <c r="A15" s="5" t="s">
        <v>298</v>
      </c>
      <c r="B15">
        <v>0</v>
      </c>
      <c r="C15" t="s">
        <v>253</v>
      </c>
      <c r="D15">
        <v>0</v>
      </c>
      <c r="E15" t="s">
        <v>253</v>
      </c>
    </row>
  </sheetData>
  <conditionalFormatting sqref="E5:E15">
    <cfRule type="expression" dxfId="1" priority="1">
      <formula>E5="verified"</formula>
    </cfRule>
  </conditionalFormatting>
  <conditionalFormatting sqref="E5:E15">
    <cfRule type="expression" dxfId="0" priority="2">
      <formula>OR(E5="assumed",E5="by-schedule",E5="by-client-spec")</formula>
    </cfRule>
  </conditionalFormatting>
  <dataValidations count="1">
    <dataValidation type="list" showInputMessage="1" showErrorMessage="1" errorTitle="Status" error="Choose one of the six allowed statuses." promptTitle="Status" prompt="Choose one of the six allowed statuses." sqref="E2:E60" xr:uid="{C25E16E0-39ED-4F1A-A209-EA399131EC1C}">
      <formula1>"verified,derived,assumed,by-schedule,by-client-spec,excluded"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B269-D341-412C-926E-F983520FA701}">
  <dimension ref="A1:J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3.2" x14ac:dyDescent="0.25"/>
  <cols>
    <col min="2" max="2" width="46.33203125" customWidth="1"/>
    <col min="7" max="7" width="46.33203125" customWidth="1"/>
    <col min="8" max="8" width="35.21875" customWidth="1"/>
  </cols>
  <sheetData>
    <row r="1" spans="1:10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34</v>
      </c>
    </row>
    <row r="4" spans="1:10" ht="26.4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29</v>
      </c>
      <c r="H4" s="2" t="s">
        <v>35</v>
      </c>
      <c r="I4" s="2" t="s">
        <v>36</v>
      </c>
      <c r="J4" s="2" t="s">
        <v>6</v>
      </c>
    </row>
    <row r="5" spans="1:10" ht="118.8" x14ac:dyDescent="0.25">
      <c r="A5" s="3" t="s">
        <v>7</v>
      </c>
      <c r="B5" s="4" t="s">
        <v>37</v>
      </c>
      <c r="C5" s="3" t="s">
        <v>8</v>
      </c>
      <c r="D5" s="13">
        <v>9.23</v>
      </c>
      <c r="E5" s="14">
        <v>10</v>
      </c>
      <c r="F5" s="13">
        <v>10.15</v>
      </c>
      <c r="G5" s="4" t="s">
        <v>9</v>
      </c>
      <c r="H5" s="4" t="s">
        <v>38</v>
      </c>
      <c r="I5" s="3" t="s">
        <v>39</v>
      </c>
      <c r="J5" s="3" t="s">
        <v>10</v>
      </c>
    </row>
    <row r="6" spans="1:10" ht="92.4" x14ac:dyDescent="0.25">
      <c r="A6" s="3" t="s">
        <v>11</v>
      </c>
      <c r="B6" s="4" t="s">
        <v>40</v>
      </c>
      <c r="C6" s="3" t="s">
        <v>8</v>
      </c>
      <c r="D6" s="13">
        <v>0.77</v>
      </c>
      <c r="E6" s="14">
        <v>10</v>
      </c>
      <c r="F6" s="13">
        <v>0.85</v>
      </c>
      <c r="G6" s="4" t="s">
        <v>41</v>
      </c>
      <c r="H6" s="4" t="s">
        <v>42</v>
      </c>
      <c r="I6" s="3" t="s">
        <v>39</v>
      </c>
      <c r="J6" s="3" t="s">
        <v>43</v>
      </c>
    </row>
    <row r="7" spans="1:10" ht="66" x14ac:dyDescent="0.25">
      <c r="A7" s="3" t="s">
        <v>44</v>
      </c>
      <c r="B7" s="4" t="s">
        <v>45</v>
      </c>
      <c r="C7" s="3" t="s">
        <v>8</v>
      </c>
      <c r="D7" s="13">
        <v>0.77</v>
      </c>
      <c r="E7" s="14">
        <v>10</v>
      </c>
      <c r="F7" s="13">
        <v>0.85</v>
      </c>
      <c r="G7" s="4" t="s">
        <v>46</v>
      </c>
      <c r="H7" s="4" t="s">
        <v>47</v>
      </c>
      <c r="I7" s="3" t="s">
        <v>39</v>
      </c>
      <c r="J7" s="3" t="s">
        <v>48</v>
      </c>
    </row>
    <row r="8" spans="1:10" ht="92.4" x14ac:dyDescent="0.25">
      <c r="A8" s="3" t="s">
        <v>49</v>
      </c>
      <c r="B8" s="4" t="s">
        <v>50</v>
      </c>
      <c r="C8" s="3" t="s">
        <v>8</v>
      </c>
      <c r="D8" s="13" t="s">
        <v>51</v>
      </c>
      <c r="E8" s="14">
        <v>10</v>
      </c>
      <c r="F8" s="13" t="s">
        <v>51</v>
      </c>
      <c r="G8" s="4" t="s">
        <v>52</v>
      </c>
      <c r="H8" s="4" t="s">
        <v>47</v>
      </c>
      <c r="I8" s="3" t="s">
        <v>53</v>
      </c>
      <c r="J8" s="3" t="s">
        <v>43</v>
      </c>
    </row>
    <row r="9" spans="1:10" ht="118.8" x14ac:dyDescent="0.25">
      <c r="A9" s="3" t="s">
        <v>54</v>
      </c>
      <c r="B9" s="4" t="s">
        <v>55</v>
      </c>
      <c r="C9" s="3" t="s">
        <v>8</v>
      </c>
      <c r="D9" s="13" t="s">
        <v>51</v>
      </c>
      <c r="E9" s="14">
        <v>0</v>
      </c>
      <c r="F9" s="13" t="s">
        <v>51</v>
      </c>
      <c r="G9" s="4" t="s">
        <v>56</v>
      </c>
      <c r="H9" s="4" t="s">
        <v>38</v>
      </c>
      <c r="I9" s="3" t="s">
        <v>39</v>
      </c>
      <c r="J9" s="3" t="s">
        <v>57</v>
      </c>
    </row>
    <row r="10" spans="1:10" ht="105.6" x14ac:dyDescent="0.25">
      <c r="A10" s="3" t="s">
        <v>12</v>
      </c>
      <c r="B10" s="4" t="s">
        <v>58</v>
      </c>
      <c r="C10" s="3" t="s">
        <v>8</v>
      </c>
      <c r="D10" s="13">
        <v>8.4600000000000009</v>
      </c>
      <c r="E10" s="14">
        <v>10</v>
      </c>
      <c r="F10" s="13">
        <v>9.31</v>
      </c>
      <c r="G10" s="4" t="s">
        <v>59</v>
      </c>
      <c r="H10" s="4" t="s">
        <v>60</v>
      </c>
      <c r="I10" s="3" t="s">
        <v>39</v>
      </c>
      <c r="J10" s="3" t="s">
        <v>48</v>
      </c>
    </row>
    <row r="11" spans="1:10" ht="79.2" x14ac:dyDescent="0.25">
      <c r="A11" s="3" t="s">
        <v>13</v>
      </c>
      <c r="B11" s="4" t="s">
        <v>61</v>
      </c>
      <c r="C11" s="3" t="s">
        <v>8</v>
      </c>
      <c r="D11" s="13" t="s">
        <v>51</v>
      </c>
      <c r="E11" s="14">
        <v>10</v>
      </c>
      <c r="F11" s="13" t="s">
        <v>51</v>
      </c>
      <c r="G11" s="4" t="s">
        <v>62</v>
      </c>
      <c r="H11" s="4" t="s">
        <v>60</v>
      </c>
      <c r="I11" s="3" t="s">
        <v>39</v>
      </c>
      <c r="J11" s="3" t="s">
        <v>57</v>
      </c>
    </row>
    <row r="12" spans="1:10" ht="92.4" x14ac:dyDescent="0.25">
      <c r="A12" s="3" t="s">
        <v>63</v>
      </c>
      <c r="B12" s="4" t="s">
        <v>64</v>
      </c>
      <c r="C12" s="3" t="s">
        <v>14</v>
      </c>
      <c r="D12" s="13">
        <v>136.66</v>
      </c>
      <c r="E12" s="14">
        <v>7</v>
      </c>
      <c r="F12" s="13">
        <v>146</v>
      </c>
      <c r="G12" s="4" t="s">
        <v>65</v>
      </c>
      <c r="H12" s="4" t="s">
        <v>66</v>
      </c>
      <c r="I12" s="3" t="s">
        <v>39</v>
      </c>
      <c r="J12" s="3" t="s">
        <v>48</v>
      </c>
    </row>
    <row r="13" spans="1:10" ht="79.2" x14ac:dyDescent="0.25">
      <c r="A13" s="3" t="s">
        <v>67</v>
      </c>
      <c r="B13" s="4" t="s">
        <v>68</v>
      </c>
      <c r="C13" s="3" t="s">
        <v>16</v>
      </c>
      <c r="D13" s="13">
        <v>28</v>
      </c>
      <c r="E13" s="14">
        <v>0</v>
      </c>
      <c r="F13" s="13">
        <v>28</v>
      </c>
      <c r="G13" s="4" t="s">
        <v>69</v>
      </c>
      <c r="H13" s="4" t="s">
        <v>66</v>
      </c>
      <c r="I13" s="3" t="s">
        <v>39</v>
      </c>
      <c r="J13" s="3" t="s">
        <v>48</v>
      </c>
    </row>
    <row r="14" spans="1:10" ht="66" x14ac:dyDescent="0.25">
      <c r="A14" s="3" t="s">
        <v>70</v>
      </c>
      <c r="B14" s="4" t="s">
        <v>71</v>
      </c>
      <c r="C14" s="3" t="s">
        <v>16</v>
      </c>
      <c r="D14" s="13">
        <v>17</v>
      </c>
      <c r="E14" s="14">
        <v>10</v>
      </c>
      <c r="F14" s="13">
        <v>19</v>
      </c>
      <c r="G14" s="4" t="s">
        <v>72</v>
      </c>
      <c r="H14" s="4" t="s">
        <v>66</v>
      </c>
      <c r="I14" s="3" t="s">
        <v>39</v>
      </c>
      <c r="J14" s="3" t="s">
        <v>48</v>
      </c>
    </row>
    <row r="15" spans="1:10" ht="118.8" x14ac:dyDescent="0.25">
      <c r="A15" s="3" t="s">
        <v>15</v>
      </c>
      <c r="B15" s="4" t="s">
        <v>73</v>
      </c>
      <c r="C15" s="3" t="s">
        <v>16</v>
      </c>
      <c r="D15" s="13">
        <v>20800</v>
      </c>
      <c r="E15" s="14">
        <v>10</v>
      </c>
      <c r="F15" s="13">
        <v>22880</v>
      </c>
      <c r="G15" s="4" t="s">
        <v>74</v>
      </c>
      <c r="H15" s="4" t="s">
        <v>75</v>
      </c>
      <c r="I15" s="3" t="s">
        <v>76</v>
      </c>
      <c r="J15" s="3" t="s">
        <v>10</v>
      </c>
    </row>
    <row r="16" spans="1:10" ht="105.6" x14ac:dyDescent="0.25">
      <c r="A16" s="3" t="s">
        <v>77</v>
      </c>
      <c r="B16" s="4" t="s">
        <v>78</v>
      </c>
      <c r="C16" s="3" t="s">
        <v>16</v>
      </c>
      <c r="D16" s="13" t="s">
        <v>51</v>
      </c>
      <c r="E16" s="14">
        <v>10</v>
      </c>
      <c r="F16" s="13" t="s">
        <v>51</v>
      </c>
      <c r="G16" s="4" t="s">
        <v>79</v>
      </c>
      <c r="H16" s="4" t="s">
        <v>80</v>
      </c>
      <c r="I16" s="3" t="s">
        <v>76</v>
      </c>
      <c r="J16" s="3" t="s">
        <v>57</v>
      </c>
    </row>
    <row r="17" spans="1:10" ht="105.6" x14ac:dyDescent="0.25">
      <c r="A17" s="3" t="s">
        <v>81</v>
      </c>
      <c r="B17" s="4" t="s">
        <v>82</v>
      </c>
      <c r="C17" s="3" t="s">
        <v>83</v>
      </c>
      <c r="D17" s="13">
        <v>18.47</v>
      </c>
      <c r="E17" s="14">
        <v>10</v>
      </c>
      <c r="F17" s="13">
        <v>20.32</v>
      </c>
      <c r="G17" s="4" t="s">
        <v>84</v>
      </c>
      <c r="H17" s="4" t="s">
        <v>85</v>
      </c>
      <c r="I17" s="3" t="s">
        <v>39</v>
      </c>
      <c r="J17" s="3" t="s">
        <v>48</v>
      </c>
    </row>
    <row r="18" spans="1:10" ht="52.8" x14ac:dyDescent="0.25">
      <c r="A18" s="3" t="s">
        <v>86</v>
      </c>
      <c r="B18" s="4" t="s">
        <v>87</v>
      </c>
      <c r="C18" s="3" t="s">
        <v>83</v>
      </c>
      <c r="D18" s="13">
        <v>0</v>
      </c>
      <c r="E18" s="14">
        <v>10</v>
      </c>
      <c r="F18" s="13">
        <v>0</v>
      </c>
      <c r="G18" s="4" t="s">
        <v>88</v>
      </c>
      <c r="H18" s="4" t="s">
        <v>85</v>
      </c>
      <c r="I18" s="3" t="s">
        <v>39</v>
      </c>
      <c r="J18" s="3" t="s">
        <v>48</v>
      </c>
    </row>
    <row r="19" spans="1:10" ht="52.8" x14ac:dyDescent="0.25">
      <c r="A19" s="3" t="s">
        <v>89</v>
      </c>
      <c r="B19" s="4" t="s">
        <v>90</v>
      </c>
      <c r="C19" s="3" t="s">
        <v>83</v>
      </c>
      <c r="D19" s="13" t="s">
        <v>51</v>
      </c>
      <c r="E19" s="14">
        <v>10</v>
      </c>
      <c r="F19" s="13" t="s">
        <v>51</v>
      </c>
      <c r="G19" s="4" t="s">
        <v>91</v>
      </c>
      <c r="H19" s="4" t="s">
        <v>85</v>
      </c>
      <c r="I19" s="3" t="s">
        <v>39</v>
      </c>
      <c r="J19" s="3" t="s">
        <v>57</v>
      </c>
    </row>
    <row r="20" spans="1:10" ht="79.2" x14ac:dyDescent="0.25">
      <c r="A20" s="3" t="s">
        <v>92</v>
      </c>
      <c r="B20" s="4" t="s">
        <v>93</v>
      </c>
      <c r="C20" s="3" t="s">
        <v>8</v>
      </c>
      <c r="D20" s="13">
        <v>9.36</v>
      </c>
      <c r="E20" s="14">
        <v>10</v>
      </c>
      <c r="F20" s="13">
        <v>10.3</v>
      </c>
      <c r="G20" s="4" t="s">
        <v>94</v>
      </c>
      <c r="H20" s="4" t="s">
        <v>95</v>
      </c>
      <c r="I20" s="3" t="s">
        <v>39</v>
      </c>
      <c r="J20" s="3" t="s">
        <v>48</v>
      </c>
    </row>
    <row r="21" spans="1:10" ht="79.2" x14ac:dyDescent="0.25">
      <c r="A21" s="3" t="s">
        <v>96</v>
      </c>
      <c r="B21" s="4" t="s">
        <v>97</v>
      </c>
      <c r="C21" s="3" t="s">
        <v>98</v>
      </c>
      <c r="D21" s="13">
        <v>53.89</v>
      </c>
      <c r="E21" s="14">
        <v>10</v>
      </c>
      <c r="F21" s="13">
        <v>60</v>
      </c>
      <c r="G21" s="4" t="s">
        <v>99</v>
      </c>
      <c r="H21" s="4" t="s">
        <v>95</v>
      </c>
      <c r="I21" s="3" t="s">
        <v>39</v>
      </c>
      <c r="J21" s="3" t="s">
        <v>48</v>
      </c>
    </row>
    <row r="22" spans="1:10" ht="66" x14ac:dyDescent="0.25">
      <c r="A22" s="3" t="s">
        <v>100</v>
      </c>
      <c r="B22" s="4" t="s">
        <v>101</v>
      </c>
      <c r="C22" s="3" t="s">
        <v>8</v>
      </c>
      <c r="D22" s="13">
        <v>10.67</v>
      </c>
      <c r="E22" s="14">
        <v>10</v>
      </c>
      <c r="F22" s="13">
        <v>11.75</v>
      </c>
      <c r="G22" s="4" t="s">
        <v>102</v>
      </c>
      <c r="H22" s="4" t="s">
        <v>95</v>
      </c>
      <c r="I22" s="3" t="s">
        <v>39</v>
      </c>
      <c r="J22" s="3" t="s">
        <v>48</v>
      </c>
    </row>
    <row r="23" spans="1:10" ht="132" x14ac:dyDescent="0.25">
      <c r="A23" s="3" t="s">
        <v>103</v>
      </c>
      <c r="B23" s="4" t="s">
        <v>104</v>
      </c>
      <c r="C23" s="3" t="s">
        <v>8</v>
      </c>
      <c r="D23" s="13" t="s">
        <v>51</v>
      </c>
      <c r="E23" s="14">
        <v>10</v>
      </c>
      <c r="F23" s="13" t="s">
        <v>51</v>
      </c>
      <c r="G23" s="4" t="s">
        <v>105</v>
      </c>
      <c r="H23" s="4" t="s">
        <v>95</v>
      </c>
      <c r="I23" s="3" t="s">
        <v>39</v>
      </c>
      <c r="J23" s="3" t="s">
        <v>43</v>
      </c>
    </row>
    <row r="24" spans="1:10" ht="79.2" x14ac:dyDescent="0.25">
      <c r="A24" s="3" t="s">
        <v>106</v>
      </c>
      <c r="B24" s="4" t="s">
        <v>107</v>
      </c>
      <c r="C24" s="3" t="s">
        <v>83</v>
      </c>
      <c r="D24" s="13" t="s">
        <v>51</v>
      </c>
      <c r="E24" s="14">
        <v>10</v>
      </c>
      <c r="F24" s="13" t="s">
        <v>51</v>
      </c>
      <c r="G24" s="4" t="s">
        <v>108</v>
      </c>
      <c r="H24" s="4" t="s">
        <v>109</v>
      </c>
      <c r="I24" s="3" t="s">
        <v>76</v>
      </c>
      <c r="J24" s="3" t="s">
        <v>57</v>
      </c>
    </row>
    <row r="25" spans="1:10" ht="79.2" x14ac:dyDescent="0.25">
      <c r="A25" s="3" t="s">
        <v>110</v>
      </c>
      <c r="B25" s="4" t="s">
        <v>111</v>
      </c>
      <c r="C25" s="3" t="s">
        <v>83</v>
      </c>
      <c r="D25" s="13" t="s">
        <v>51</v>
      </c>
      <c r="E25" s="14">
        <v>10</v>
      </c>
      <c r="F25" s="13" t="s">
        <v>51</v>
      </c>
      <c r="G25" s="4" t="s">
        <v>112</v>
      </c>
      <c r="H25" s="4" t="s">
        <v>109</v>
      </c>
      <c r="I25" s="3" t="s">
        <v>113</v>
      </c>
      <c r="J25" s="3" t="s">
        <v>57</v>
      </c>
    </row>
    <row r="26" spans="1:10" ht="92.4" x14ac:dyDescent="0.25">
      <c r="A26" s="3" t="s">
        <v>114</v>
      </c>
      <c r="B26" s="4" t="s">
        <v>115</v>
      </c>
      <c r="C26" s="3" t="s">
        <v>98</v>
      </c>
      <c r="D26" s="13" t="s">
        <v>51</v>
      </c>
      <c r="E26" s="14">
        <v>10</v>
      </c>
      <c r="F26" s="13" t="s">
        <v>51</v>
      </c>
      <c r="G26" s="4" t="s">
        <v>116</v>
      </c>
      <c r="H26" s="4" t="s">
        <v>117</v>
      </c>
      <c r="I26" s="3" t="s">
        <v>76</v>
      </c>
      <c r="J26" s="3" t="s">
        <v>57</v>
      </c>
    </row>
    <row r="27" spans="1:10" ht="79.2" x14ac:dyDescent="0.25">
      <c r="A27" s="3" t="s">
        <v>118</v>
      </c>
      <c r="B27" s="4" t="s">
        <v>119</v>
      </c>
      <c r="C27" s="3" t="s">
        <v>8</v>
      </c>
      <c r="D27" s="13" t="s">
        <v>51</v>
      </c>
      <c r="E27" s="14">
        <v>10</v>
      </c>
      <c r="F27" s="13" t="s">
        <v>51</v>
      </c>
      <c r="G27" s="4" t="s">
        <v>120</v>
      </c>
      <c r="H27" s="4" t="s">
        <v>117</v>
      </c>
      <c r="I27" s="3" t="s">
        <v>76</v>
      </c>
      <c r="J27" s="3" t="s">
        <v>57</v>
      </c>
    </row>
    <row r="28" spans="1:10" ht="79.2" x14ac:dyDescent="0.25">
      <c r="A28" s="3" t="s">
        <v>121</v>
      </c>
      <c r="B28" s="4" t="s">
        <v>122</v>
      </c>
      <c r="C28" s="3" t="s">
        <v>8</v>
      </c>
      <c r="D28" s="13" t="s">
        <v>51</v>
      </c>
      <c r="E28" s="14">
        <v>10</v>
      </c>
      <c r="F28" s="13" t="s">
        <v>51</v>
      </c>
      <c r="G28" s="4" t="s">
        <v>123</v>
      </c>
      <c r="H28" s="4" t="s">
        <v>124</v>
      </c>
      <c r="I28" s="3" t="s">
        <v>39</v>
      </c>
      <c r="J28" s="3" t="s">
        <v>57</v>
      </c>
    </row>
    <row r="29" spans="1:10" ht="92.4" x14ac:dyDescent="0.25">
      <c r="A29" s="3" t="s">
        <v>125</v>
      </c>
      <c r="B29" s="4" t="s">
        <v>126</v>
      </c>
      <c r="C29" s="3" t="s">
        <v>98</v>
      </c>
      <c r="D29" s="13" t="s">
        <v>51</v>
      </c>
      <c r="E29" s="14">
        <v>10</v>
      </c>
      <c r="F29" s="13" t="s">
        <v>51</v>
      </c>
      <c r="G29" s="4" t="s">
        <v>127</v>
      </c>
      <c r="H29" s="4" t="s">
        <v>128</v>
      </c>
      <c r="I29" s="3" t="s">
        <v>39</v>
      </c>
      <c r="J29" s="3" t="s">
        <v>57</v>
      </c>
    </row>
    <row r="30" spans="1:10" ht="79.2" x14ac:dyDescent="0.25">
      <c r="A30" s="3" t="s">
        <v>129</v>
      </c>
      <c r="B30" s="4" t="s">
        <v>130</v>
      </c>
      <c r="C30" s="3" t="s">
        <v>8</v>
      </c>
      <c r="D30" s="13" t="s">
        <v>51</v>
      </c>
      <c r="E30" s="14">
        <v>10</v>
      </c>
      <c r="F30" s="13" t="s">
        <v>51</v>
      </c>
      <c r="G30" s="4" t="s">
        <v>131</v>
      </c>
      <c r="H30" s="4" t="s">
        <v>128</v>
      </c>
      <c r="I30" s="3" t="s">
        <v>39</v>
      </c>
      <c r="J30" s="3" t="s">
        <v>57</v>
      </c>
    </row>
    <row r="31" spans="1:10" ht="79.2" x14ac:dyDescent="0.25">
      <c r="A31" s="3" t="s">
        <v>132</v>
      </c>
      <c r="B31" s="4" t="s">
        <v>133</v>
      </c>
      <c r="C31" s="3" t="s">
        <v>83</v>
      </c>
      <c r="D31" s="13" t="s">
        <v>51</v>
      </c>
      <c r="E31" s="14">
        <v>10</v>
      </c>
      <c r="F31" s="13" t="s">
        <v>51</v>
      </c>
      <c r="G31" s="4" t="s">
        <v>134</v>
      </c>
      <c r="H31" s="4" t="s">
        <v>135</v>
      </c>
      <c r="I31" s="3" t="s">
        <v>39</v>
      </c>
      <c r="J31" s="3" t="s">
        <v>57</v>
      </c>
    </row>
    <row r="32" spans="1:10" ht="66" x14ac:dyDescent="0.25">
      <c r="A32" s="3" t="s">
        <v>136</v>
      </c>
      <c r="B32" s="4" t="s">
        <v>137</v>
      </c>
      <c r="C32" s="3" t="s">
        <v>98</v>
      </c>
      <c r="D32" s="13" t="s">
        <v>51</v>
      </c>
      <c r="E32" s="14">
        <v>10</v>
      </c>
      <c r="F32" s="13" t="s">
        <v>51</v>
      </c>
      <c r="G32" s="4" t="s">
        <v>138</v>
      </c>
      <c r="H32" s="4" t="s">
        <v>135</v>
      </c>
      <c r="I32" s="3" t="s">
        <v>39</v>
      </c>
      <c r="J32" s="3" t="s">
        <v>57</v>
      </c>
    </row>
    <row r="33" spans="1:10" ht="66" x14ac:dyDescent="0.25">
      <c r="A33" s="3" t="s">
        <v>139</v>
      </c>
      <c r="B33" s="4" t="s">
        <v>140</v>
      </c>
      <c r="C33" s="3" t="s">
        <v>98</v>
      </c>
      <c r="D33" s="13" t="s">
        <v>51</v>
      </c>
      <c r="E33" s="14">
        <v>10</v>
      </c>
      <c r="F33" s="13" t="s">
        <v>51</v>
      </c>
      <c r="G33" s="4" t="s">
        <v>141</v>
      </c>
      <c r="H33" s="4" t="s">
        <v>135</v>
      </c>
      <c r="I33" s="3" t="s">
        <v>39</v>
      </c>
      <c r="J33" s="3" t="s">
        <v>57</v>
      </c>
    </row>
    <row r="34" spans="1:10" ht="66" x14ac:dyDescent="0.25">
      <c r="A34" s="3" t="s">
        <v>142</v>
      </c>
      <c r="B34" s="4" t="s">
        <v>143</v>
      </c>
      <c r="C34" s="3" t="s">
        <v>83</v>
      </c>
      <c r="D34" s="13" t="s">
        <v>51</v>
      </c>
      <c r="E34" s="14">
        <v>10</v>
      </c>
      <c r="F34" s="13" t="s">
        <v>51</v>
      </c>
      <c r="G34" s="4" t="s">
        <v>144</v>
      </c>
      <c r="H34" s="4" t="s">
        <v>145</v>
      </c>
      <c r="I34" s="3" t="s">
        <v>53</v>
      </c>
      <c r="J34" s="3" t="s">
        <v>57</v>
      </c>
    </row>
    <row r="35" spans="1:10" ht="92.4" x14ac:dyDescent="0.25">
      <c r="A35" s="3" t="s">
        <v>146</v>
      </c>
      <c r="B35" s="4" t="s">
        <v>147</v>
      </c>
      <c r="C35" s="3" t="s">
        <v>8</v>
      </c>
      <c r="D35" s="13" t="s">
        <v>51</v>
      </c>
      <c r="E35" s="14">
        <v>10</v>
      </c>
      <c r="F35" s="13" t="s">
        <v>51</v>
      </c>
      <c r="G35" s="4" t="s">
        <v>148</v>
      </c>
      <c r="H35" s="4" t="s">
        <v>145</v>
      </c>
      <c r="I35" s="3" t="s">
        <v>39</v>
      </c>
      <c r="J35" s="3" t="s">
        <v>57</v>
      </c>
    </row>
    <row r="36" spans="1:10" ht="92.4" x14ac:dyDescent="0.25">
      <c r="A36" s="3" t="s">
        <v>149</v>
      </c>
      <c r="B36" s="4" t="s">
        <v>150</v>
      </c>
      <c r="C36" s="3" t="s">
        <v>151</v>
      </c>
      <c r="D36" s="13" t="s">
        <v>51</v>
      </c>
      <c r="E36" s="14">
        <v>10</v>
      </c>
      <c r="F36" s="13" t="s">
        <v>51</v>
      </c>
      <c r="G36" s="4" t="s">
        <v>152</v>
      </c>
      <c r="H36" s="4" t="s">
        <v>145</v>
      </c>
      <c r="I36" s="3" t="s">
        <v>39</v>
      </c>
      <c r="J36" s="3" t="s">
        <v>57</v>
      </c>
    </row>
    <row r="37" spans="1:10" ht="79.2" x14ac:dyDescent="0.25">
      <c r="A37" s="3" t="s">
        <v>153</v>
      </c>
      <c r="B37" s="4" t="s">
        <v>154</v>
      </c>
      <c r="C37" s="3" t="s">
        <v>16</v>
      </c>
      <c r="D37" s="13" t="s">
        <v>51</v>
      </c>
      <c r="E37" s="14">
        <v>10</v>
      </c>
      <c r="F37" s="13" t="s">
        <v>51</v>
      </c>
      <c r="G37" s="4" t="s">
        <v>155</v>
      </c>
      <c r="H37" s="4" t="s">
        <v>145</v>
      </c>
      <c r="I37" s="3" t="s">
        <v>39</v>
      </c>
      <c r="J37" s="3" t="s">
        <v>57</v>
      </c>
    </row>
    <row r="38" spans="1:10" ht="79.2" x14ac:dyDescent="0.25">
      <c r="A38" s="3" t="s">
        <v>156</v>
      </c>
      <c r="B38" s="4" t="s">
        <v>157</v>
      </c>
      <c r="C38" s="3" t="s">
        <v>83</v>
      </c>
      <c r="D38" s="13" t="s">
        <v>51</v>
      </c>
      <c r="E38" s="14">
        <v>10</v>
      </c>
      <c r="F38" s="13" t="s">
        <v>51</v>
      </c>
      <c r="G38" s="4" t="s">
        <v>158</v>
      </c>
      <c r="H38" s="4" t="s">
        <v>159</v>
      </c>
      <c r="I38" s="3" t="s">
        <v>160</v>
      </c>
      <c r="J38" s="3" t="s">
        <v>57</v>
      </c>
    </row>
    <row r="39" spans="1:10" ht="79.2" x14ac:dyDescent="0.25">
      <c r="A39" s="3" t="s">
        <v>161</v>
      </c>
      <c r="B39" s="4" t="s">
        <v>162</v>
      </c>
      <c r="C39" s="3" t="s">
        <v>16</v>
      </c>
      <c r="D39" s="13" t="s">
        <v>51</v>
      </c>
      <c r="E39" s="14">
        <v>0</v>
      </c>
      <c r="F39" s="13" t="s">
        <v>51</v>
      </c>
      <c r="G39" s="4" t="s">
        <v>163</v>
      </c>
      <c r="H39" s="4" t="s">
        <v>164</v>
      </c>
      <c r="I39" s="3" t="s">
        <v>160</v>
      </c>
      <c r="J39" s="3" t="s">
        <v>57</v>
      </c>
    </row>
    <row r="40" spans="1:10" ht="52.8" x14ac:dyDescent="0.25">
      <c r="A40" s="3" t="s">
        <v>165</v>
      </c>
      <c r="B40" s="4" t="s">
        <v>166</v>
      </c>
      <c r="C40" s="3" t="s">
        <v>151</v>
      </c>
      <c r="D40" s="13" t="s">
        <v>51</v>
      </c>
      <c r="E40" s="14">
        <v>10</v>
      </c>
      <c r="F40" s="13" t="s">
        <v>51</v>
      </c>
      <c r="G40" s="4" t="s">
        <v>167</v>
      </c>
      <c r="H40" s="4" t="s">
        <v>168</v>
      </c>
      <c r="I40" s="3" t="s">
        <v>169</v>
      </c>
      <c r="J40" s="3" t="s">
        <v>57</v>
      </c>
    </row>
    <row r="41" spans="1:10" ht="79.2" x14ac:dyDescent="0.25">
      <c r="A41" s="3" t="s">
        <v>170</v>
      </c>
      <c r="B41" s="4" t="s">
        <v>171</v>
      </c>
      <c r="C41" s="3" t="s">
        <v>151</v>
      </c>
      <c r="D41" s="13" t="s">
        <v>51</v>
      </c>
      <c r="E41" s="14">
        <v>10</v>
      </c>
      <c r="F41" s="13" t="s">
        <v>51</v>
      </c>
      <c r="G41" s="4" t="s">
        <v>172</v>
      </c>
      <c r="H41" s="4" t="s">
        <v>168</v>
      </c>
      <c r="I41" s="3" t="s">
        <v>169</v>
      </c>
      <c r="J41" s="3" t="s">
        <v>57</v>
      </c>
    </row>
    <row r="42" spans="1:10" ht="92.4" x14ac:dyDescent="0.25">
      <c r="A42" s="3" t="s">
        <v>173</v>
      </c>
      <c r="B42" s="4" t="s">
        <v>174</v>
      </c>
      <c r="C42" s="3" t="s">
        <v>16</v>
      </c>
      <c r="D42" s="13" t="s">
        <v>51</v>
      </c>
      <c r="E42" s="14">
        <v>0</v>
      </c>
      <c r="F42" s="13" t="s">
        <v>51</v>
      </c>
      <c r="G42" s="4" t="s">
        <v>175</v>
      </c>
      <c r="H42" s="4" t="s">
        <v>164</v>
      </c>
      <c r="I42" s="3" t="s">
        <v>160</v>
      </c>
      <c r="J42" s="3" t="s">
        <v>57</v>
      </c>
    </row>
    <row r="43" spans="1:10" ht="92.4" x14ac:dyDescent="0.25">
      <c r="A43" s="3" t="s">
        <v>176</v>
      </c>
      <c r="B43" s="4" t="s">
        <v>177</v>
      </c>
      <c r="C43" s="3" t="s">
        <v>151</v>
      </c>
      <c r="D43" s="13" t="s">
        <v>51</v>
      </c>
      <c r="E43" s="14">
        <v>10</v>
      </c>
      <c r="F43" s="13" t="s">
        <v>51</v>
      </c>
      <c r="G43" s="4" t="s">
        <v>178</v>
      </c>
      <c r="H43" s="4" t="s">
        <v>179</v>
      </c>
      <c r="I43" s="3" t="s">
        <v>160</v>
      </c>
      <c r="J43" s="3" t="s">
        <v>57</v>
      </c>
    </row>
    <row r="44" spans="1:10" ht="105.6" x14ac:dyDescent="0.25">
      <c r="A44" s="3" t="s">
        <v>180</v>
      </c>
      <c r="B44" s="4" t="s">
        <v>181</v>
      </c>
      <c r="C44" s="3" t="s">
        <v>16</v>
      </c>
      <c r="D44" s="13" t="s">
        <v>51</v>
      </c>
      <c r="E44" s="14">
        <v>10</v>
      </c>
      <c r="F44" s="13" t="s">
        <v>51</v>
      </c>
      <c r="G44" s="4" t="s">
        <v>182</v>
      </c>
      <c r="H44" s="4" t="s">
        <v>179</v>
      </c>
      <c r="I44" s="3" t="s">
        <v>53</v>
      </c>
      <c r="J44" s="3" t="s">
        <v>57</v>
      </c>
    </row>
    <row r="45" spans="1:10" ht="66" x14ac:dyDescent="0.25">
      <c r="A45" s="3" t="s">
        <v>183</v>
      </c>
      <c r="B45" s="4" t="s">
        <v>184</v>
      </c>
      <c r="C45" s="3" t="s">
        <v>151</v>
      </c>
      <c r="D45" s="13" t="s">
        <v>51</v>
      </c>
      <c r="E45" s="14">
        <v>10</v>
      </c>
      <c r="F45" s="13" t="s">
        <v>51</v>
      </c>
      <c r="G45" s="4" t="s">
        <v>185</v>
      </c>
      <c r="H45" s="4" t="s">
        <v>186</v>
      </c>
      <c r="I45" s="3" t="s">
        <v>53</v>
      </c>
      <c r="J45" s="3" t="s">
        <v>57</v>
      </c>
    </row>
    <row r="46" spans="1:10" ht="66" x14ac:dyDescent="0.25">
      <c r="A46" s="3" t="s">
        <v>187</v>
      </c>
      <c r="B46" s="4" t="s">
        <v>188</v>
      </c>
      <c r="C46" s="3" t="s">
        <v>151</v>
      </c>
      <c r="D46" s="13" t="s">
        <v>51</v>
      </c>
      <c r="E46" s="14">
        <v>10</v>
      </c>
      <c r="F46" s="13" t="s">
        <v>51</v>
      </c>
      <c r="G46" s="4" t="s">
        <v>189</v>
      </c>
      <c r="H46" s="4" t="s">
        <v>186</v>
      </c>
      <c r="I46" s="3" t="s">
        <v>39</v>
      </c>
      <c r="J46" s="3" t="s">
        <v>57</v>
      </c>
    </row>
    <row r="47" spans="1:10" ht="66" x14ac:dyDescent="0.25">
      <c r="A47" s="3" t="s">
        <v>190</v>
      </c>
      <c r="B47" s="4" t="s">
        <v>191</v>
      </c>
      <c r="C47" s="3" t="s">
        <v>16</v>
      </c>
      <c r="D47" s="13" t="s">
        <v>51</v>
      </c>
      <c r="E47" s="14">
        <v>0</v>
      </c>
      <c r="F47" s="13" t="s">
        <v>51</v>
      </c>
      <c r="G47" s="4" t="s">
        <v>192</v>
      </c>
      <c r="H47" s="4" t="s">
        <v>193</v>
      </c>
      <c r="I47" s="3" t="s">
        <v>39</v>
      </c>
      <c r="J47" s="3" t="s">
        <v>57</v>
      </c>
    </row>
    <row r="48" spans="1:10" ht="79.2" x14ac:dyDescent="0.25">
      <c r="A48" s="3" t="s">
        <v>194</v>
      </c>
      <c r="B48" s="4" t="s">
        <v>195</v>
      </c>
      <c r="C48" s="3" t="s">
        <v>16</v>
      </c>
      <c r="D48" s="13" t="s">
        <v>51</v>
      </c>
      <c r="E48" s="14">
        <v>0</v>
      </c>
      <c r="F48" s="13" t="s">
        <v>51</v>
      </c>
      <c r="G48" s="4" t="s">
        <v>196</v>
      </c>
      <c r="H48" s="4" t="s">
        <v>197</v>
      </c>
      <c r="I48" s="3" t="s">
        <v>39</v>
      </c>
      <c r="J48" s="3" t="s">
        <v>57</v>
      </c>
    </row>
    <row r="49" spans="1:10" ht="92.4" x14ac:dyDescent="0.25">
      <c r="A49" s="3" t="s">
        <v>198</v>
      </c>
      <c r="B49" s="4" t="s">
        <v>199</v>
      </c>
      <c r="C49" s="3" t="s">
        <v>16</v>
      </c>
      <c r="D49" s="13" t="s">
        <v>51</v>
      </c>
      <c r="E49" s="14">
        <v>0</v>
      </c>
      <c r="F49" s="13" t="s">
        <v>51</v>
      </c>
      <c r="G49" s="4" t="s">
        <v>200</v>
      </c>
      <c r="H49" s="4" t="s">
        <v>197</v>
      </c>
      <c r="I49" s="3" t="s">
        <v>39</v>
      </c>
      <c r="J49" s="3" t="s">
        <v>57</v>
      </c>
    </row>
    <row r="50" spans="1:10" ht="79.2" x14ac:dyDescent="0.25">
      <c r="A50" s="3" t="s">
        <v>201</v>
      </c>
      <c r="B50" s="4" t="s">
        <v>202</v>
      </c>
      <c r="C50" s="3" t="s">
        <v>151</v>
      </c>
      <c r="D50" s="13" t="s">
        <v>51</v>
      </c>
      <c r="E50" s="14">
        <v>0</v>
      </c>
      <c r="F50" s="13" t="s">
        <v>51</v>
      </c>
      <c r="G50" s="4" t="s">
        <v>203</v>
      </c>
      <c r="H50" s="4" t="s">
        <v>204</v>
      </c>
      <c r="I50" s="3" t="s">
        <v>39</v>
      </c>
      <c r="J50" s="3" t="s">
        <v>57</v>
      </c>
    </row>
    <row r="51" spans="1:10" ht="92.4" x14ac:dyDescent="0.25">
      <c r="A51" s="3" t="s">
        <v>205</v>
      </c>
      <c r="B51" s="4" t="s">
        <v>206</v>
      </c>
      <c r="C51" s="3" t="s">
        <v>16</v>
      </c>
      <c r="D51" s="13" t="s">
        <v>51</v>
      </c>
      <c r="E51" s="14">
        <v>0</v>
      </c>
      <c r="F51" s="13" t="s">
        <v>51</v>
      </c>
      <c r="G51" s="4" t="s">
        <v>207</v>
      </c>
      <c r="H51" s="4" t="s">
        <v>204</v>
      </c>
      <c r="I51" s="3" t="s">
        <v>39</v>
      </c>
      <c r="J51" s="3" t="s">
        <v>208</v>
      </c>
    </row>
    <row r="52" spans="1:10" ht="92.4" x14ac:dyDescent="0.25">
      <c r="A52" s="3" t="s">
        <v>209</v>
      </c>
      <c r="B52" s="4" t="s">
        <v>210</v>
      </c>
      <c r="C52" s="3" t="s">
        <v>83</v>
      </c>
      <c r="D52" s="13" t="s">
        <v>51</v>
      </c>
      <c r="E52" s="14">
        <v>0</v>
      </c>
      <c r="F52" s="13" t="s">
        <v>51</v>
      </c>
      <c r="G52" s="4" t="s">
        <v>211</v>
      </c>
      <c r="H52" s="4" t="s">
        <v>212</v>
      </c>
      <c r="I52" s="3" t="s">
        <v>53</v>
      </c>
      <c r="J52" s="3" t="s">
        <v>208</v>
      </c>
    </row>
    <row r="53" spans="1:10" ht="79.2" x14ac:dyDescent="0.25">
      <c r="A53" s="3" t="s">
        <v>213</v>
      </c>
      <c r="B53" s="4" t="s">
        <v>214</v>
      </c>
      <c r="C53" s="3" t="s">
        <v>83</v>
      </c>
      <c r="D53" s="13" t="s">
        <v>51</v>
      </c>
      <c r="E53" s="14">
        <v>0</v>
      </c>
      <c r="F53" s="13" t="s">
        <v>51</v>
      </c>
      <c r="G53" s="4" t="s">
        <v>215</v>
      </c>
      <c r="H53" s="4" t="s">
        <v>212</v>
      </c>
      <c r="I53" s="3" t="s">
        <v>113</v>
      </c>
      <c r="J53" s="3" t="s">
        <v>208</v>
      </c>
    </row>
    <row r="54" spans="1:10" ht="66" x14ac:dyDescent="0.25">
      <c r="A54" s="3" t="s">
        <v>216</v>
      </c>
      <c r="B54" s="4" t="s">
        <v>217</v>
      </c>
      <c r="C54" s="3" t="s">
        <v>8</v>
      </c>
      <c r="D54" s="13" t="s">
        <v>51</v>
      </c>
      <c r="E54" s="14">
        <v>0</v>
      </c>
      <c r="F54" s="13" t="s">
        <v>51</v>
      </c>
      <c r="G54" s="4" t="s">
        <v>218</v>
      </c>
      <c r="H54" s="4" t="s">
        <v>219</v>
      </c>
      <c r="I54" s="3" t="s">
        <v>39</v>
      </c>
      <c r="J54" s="3" t="s">
        <v>57</v>
      </c>
    </row>
    <row r="55" spans="1:10" ht="66" x14ac:dyDescent="0.25">
      <c r="A55" s="3" t="s">
        <v>220</v>
      </c>
      <c r="B55" s="4" t="s">
        <v>221</v>
      </c>
      <c r="C55" s="3" t="s">
        <v>151</v>
      </c>
      <c r="D55" s="13" t="s">
        <v>51</v>
      </c>
      <c r="E55" s="14">
        <v>5</v>
      </c>
      <c r="F55" s="13" t="s">
        <v>51</v>
      </c>
      <c r="G55" s="4" t="s">
        <v>222</v>
      </c>
      <c r="H55" s="4" t="s">
        <v>223</v>
      </c>
      <c r="I55" s="3" t="s">
        <v>39</v>
      </c>
      <c r="J55" s="3" t="s">
        <v>57</v>
      </c>
    </row>
    <row r="56" spans="1:10" ht="66" x14ac:dyDescent="0.25">
      <c r="A56" s="3" t="s">
        <v>224</v>
      </c>
      <c r="B56" s="4" t="s">
        <v>225</v>
      </c>
      <c r="C56" s="3" t="s">
        <v>8</v>
      </c>
      <c r="D56" s="13" t="s">
        <v>51</v>
      </c>
      <c r="E56" s="14">
        <v>10</v>
      </c>
      <c r="F56" s="13" t="s">
        <v>51</v>
      </c>
      <c r="G56" s="4" t="s">
        <v>226</v>
      </c>
      <c r="H56" s="4" t="s">
        <v>223</v>
      </c>
      <c r="I56" s="3" t="s">
        <v>39</v>
      </c>
      <c r="J56" s="3" t="s">
        <v>57</v>
      </c>
    </row>
    <row r="57" spans="1:10" ht="66" x14ac:dyDescent="0.25">
      <c r="A57" s="3" t="s">
        <v>227</v>
      </c>
      <c r="B57" s="4" t="s">
        <v>228</v>
      </c>
      <c r="C57" s="3" t="s">
        <v>8</v>
      </c>
      <c r="D57" s="13" t="s">
        <v>51</v>
      </c>
      <c r="E57" s="14">
        <v>10</v>
      </c>
      <c r="F57" s="13" t="s">
        <v>51</v>
      </c>
      <c r="G57" s="4" t="s">
        <v>229</v>
      </c>
      <c r="H57" s="4" t="s">
        <v>223</v>
      </c>
      <c r="I57" s="3" t="s">
        <v>39</v>
      </c>
      <c r="J57" s="3" t="s">
        <v>57</v>
      </c>
    </row>
    <row r="58" spans="1:10" ht="92.4" x14ac:dyDescent="0.25">
      <c r="A58" s="3" t="s">
        <v>230</v>
      </c>
      <c r="B58" s="4" t="s">
        <v>231</v>
      </c>
      <c r="C58" s="3" t="s">
        <v>16</v>
      </c>
      <c r="D58" s="13" t="s">
        <v>51</v>
      </c>
      <c r="E58" s="14">
        <v>0</v>
      </c>
      <c r="F58" s="13" t="s">
        <v>51</v>
      </c>
      <c r="G58" s="4" t="s">
        <v>232</v>
      </c>
      <c r="H58" s="4" t="s">
        <v>233</v>
      </c>
      <c r="I58" s="3" t="s">
        <v>234</v>
      </c>
      <c r="J58" s="3" t="s">
        <v>57</v>
      </c>
    </row>
    <row r="59" spans="1:10" ht="92.4" x14ac:dyDescent="0.25">
      <c r="A59" s="3" t="s">
        <v>235</v>
      </c>
      <c r="B59" s="4" t="s">
        <v>236</v>
      </c>
      <c r="C59" s="3" t="s">
        <v>16</v>
      </c>
      <c r="D59" s="13" t="s">
        <v>51</v>
      </c>
      <c r="E59" s="14">
        <v>0</v>
      </c>
      <c r="F59" s="13" t="s">
        <v>51</v>
      </c>
      <c r="G59" s="4" t="s">
        <v>232</v>
      </c>
      <c r="H59" s="4" t="s">
        <v>237</v>
      </c>
      <c r="I59" s="3" t="s">
        <v>234</v>
      </c>
      <c r="J59" s="3" t="s">
        <v>57</v>
      </c>
    </row>
    <row r="60" spans="1:10" ht="79.2" x14ac:dyDescent="0.25">
      <c r="A60" s="3" t="s">
        <v>238</v>
      </c>
      <c r="B60" s="4" t="s">
        <v>239</v>
      </c>
      <c r="C60" s="3" t="s">
        <v>83</v>
      </c>
      <c r="D60" s="13" t="s">
        <v>51</v>
      </c>
      <c r="E60" s="14">
        <v>10</v>
      </c>
      <c r="F60" s="13" t="s">
        <v>51</v>
      </c>
      <c r="G60" s="4" t="s">
        <v>240</v>
      </c>
      <c r="H60" s="4" t="s">
        <v>241</v>
      </c>
      <c r="I60" s="3" t="s">
        <v>53</v>
      </c>
      <c r="J60" s="3" t="s">
        <v>57</v>
      </c>
    </row>
    <row r="61" spans="1:10" ht="52.8" x14ac:dyDescent="0.25">
      <c r="A61" s="3" t="s">
        <v>242</v>
      </c>
      <c r="B61" s="4" t="s">
        <v>243</v>
      </c>
      <c r="C61" s="3" t="s">
        <v>151</v>
      </c>
      <c r="D61" s="13" t="s">
        <v>51</v>
      </c>
      <c r="E61" s="14">
        <v>0</v>
      </c>
      <c r="F61" s="13" t="s">
        <v>51</v>
      </c>
      <c r="G61" s="4" t="s">
        <v>244</v>
      </c>
      <c r="H61" s="4" t="s">
        <v>241</v>
      </c>
      <c r="I61" s="3" t="s">
        <v>39</v>
      </c>
      <c r="J61" s="3" t="s">
        <v>57</v>
      </c>
    </row>
    <row r="62" spans="1:10" ht="66" x14ac:dyDescent="0.25">
      <c r="A62" s="3" t="s">
        <v>245</v>
      </c>
      <c r="B62" s="4" t="s">
        <v>246</v>
      </c>
      <c r="C62" s="3" t="s">
        <v>151</v>
      </c>
      <c r="D62" s="13" t="s">
        <v>51</v>
      </c>
      <c r="E62" s="14">
        <v>0</v>
      </c>
      <c r="F62" s="13" t="s">
        <v>51</v>
      </c>
      <c r="G62" s="4" t="s">
        <v>247</v>
      </c>
      <c r="H62" s="4" t="s">
        <v>241</v>
      </c>
      <c r="I62" s="3" t="s">
        <v>39</v>
      </c>
      <c r="J62" s="3" t="s">
        <v>57</v>
      </c>
    </row>
    <row r="63" spans="1:10" ht="52.8" x14ac:dyDescent="0.25">
      <c r="A63" s="3" t="s">
        <v>248</v>
      </c>
      <c r="B63" s="4" t="s">
        <v>249</v>
      </c>
      <c r="C63" s="3" t="s">
        <v>8</v>
      </c>
      <c r="D63" s="13" t="s">
        <v>51</v>
      </c>
      <c r="E63" s="14">
        <v>0</v>
      </c>
      <c r="F63" s="13" t="s">
        <v>51</v>
      </c>
      <c r="G63" s="4" t="s">
        <v>250</v>
      </c>
      <c r="H63" s="4" t="s">
        <v>241</v>
      </c>
      <c r="I63" s="3" t="s">
        <v>53</v>
      </c>
      <c r="J63" s="3" t="s">
        <v>57</v>
      </c>
    </row>
    <row r="64" spans="1:10" ht="52.8" x14ac:dyDescent="0.25">
      <c r="A64" s="3" t="s">
        <v>251</v>
      </c>
      <c r="B64" s="4" t="s">
        <v>252</v>
      </c>
      <c r="C64" s="3" t="s">
        <v>253</v>
      </c>
      <c r="D64" s="13">
        <v>0</v>
      </c>
      <c r="E64" s="14">
        <v>0</v>
      </c>
      <c r="F64" s="13">
        <v>0</v>
      </c>
      <c r="G64" s="4" t="s">
        <v>254</v>
      </c>
      <c r="H64" s="4" t="s">
        <v>255</v>
      </c>
      <c r="I64" s="3" t="s">
        <v>234</v>
      </c>
      <c r="J64" s="3" t="s">
        <v>253</v>
      </c>
    </row>
    <row r="65" spans="1:10" ht="79.2" x14ac:dyDescent="0.25">
      <c r="A65" s="3" t="s">
        <v>256</v>
      </c>
      <c r="B65" s="4" t="s">
        <v>257</v>
      </c>
      <c r="C65" s="3" t="s">
        <v>253</v>
      </c>
      <c r="D65" s="13">
        <v>0</v>
      </c>
      <c r="E65" s="14">
        <v>0</v>
      </c>
      <c r="F65" s="13">
        <v>0</v>
      </c>
      <c r="G65" s="4" t="s">
        <v>258</v>
      </c>
      <c r="H65" s="4" t="s">
        <v>255</v>
      </c>
      <c r="I65" s="3" t="s">
        <v>234</v>
      </c>
      <c r="J65" s="3" t="s">
        <v>253</v>
      </c>
    </row>
    <row r="66" spans="1:10" ht="66" x14ac:dyDescent="0.25">
      <c r="A66" s="3" t="s">
        <v>259</v>
      </c>
      <c r="B66" s="4" t="s">
        <v>260</v>
      </c>
      <c r="C66" s="3" t="s">
        <v>253</v>
      </c>
      <c r="D66" s="13">
        <v>0</v>
      </c>
      <c r="E66" s="14">
        <v>0</v>
      </c>
      <c r="F66" s="13">
        <v>0</v>
      </c>
      <c r="G66" s="4" t="s">
        <v>261</v>
      </c>
      <c r="H66" s="4" t="s">
        <v>255</v>
      </c>
      <c r="I66" s="3" t="s">
        <v>234</v>
      </c>
      <c r="J66" s="3" t="s">
        <v>253</v>
      </c>
    </row>
    <row r="67" spans="1:10" ht="52.8" x14ac:dyDescent="0.25">
      <c r="A67" s="3" t="s">
        <v>262</v>
      </c>
      <c r="B67" s="4" t="s">
        <v>263</v>
      </c>
      <c r="C67" s="3" t="s">
        <v>253</v>
      </c>
      <c r="D67" s="13">
        <v>0</v>
      </c>
      <c r="E67" s="14">
        <v>0</v>
      </c>
      <c r="F67" s="13">
        <v>0</v>
      </c>
      <c r="G67" s="4" t="s">
        <v>264</v>
      </c>
      <c r="H67" s="4" t="s">
        <v>255</v>
      </c>
      <c r="I67" s="3" t="s">
        <v>234</v>
      </c>
      <c r="J67" s="3" t="s">
        <v>253</v>
      </c>
    </row>
    <row r="68" spans="1:10" ht="66" x14ac:dyDescent="0.25">
      <c r="A68" s="3" t="s">
        <v>265</v>
      </c>
      <c r="B68" s="4" t="s">
        <v>266</v>
      </c>
      <c r="C68" s="3" t="s">
        <v>253</v>
      </c>
      <c r="D68" s="13">
        <v>0</v>
      </c>
      <c r="E68" s="14">
        <v>0</v>
      </c>
      <c r="F68" s="13">
        <v>0</v>
      </c>
      <c r="G68" s="4" t="s">
        <v>267</v>
      </c>
      <c r="H68" s="4" t="s">
        <v>255</v>
      </c>
      <c r="I68" s="3" t="s">
        <v>234</v>
      </c>
      <c r="J68" s="3" t="s">
        <v>253</v>
      </c>
    </row>
    <row r="69" spans="1:10" ht="52.8" x14ac:dyDescent="0.25">
      <c r="A69" s="3" t="s">
        <v>268</v>
      </c>
      <c r="B69" s="4" t="s">
        <v>269</v>
      </c>
      <c r="C69" s="3" t="s">
        <v>253</v>
      </c>
      <c r="D69" s="13">
        <v>0</v>
      </c>
      <c r="E69" s="14">
        <v>0</v>
      </c>
      <c r="F69" s="13">
        <v>0</v>
      </c>
      <c r="G69" s="4" t="s">
        <v>270</v>
      </c>
      <c r="H69" s="4" t="s">
        <v>255</v>
      </c>
      <c r="I69" s="3" t="s">
        <v>234</v>
      </c>
      <c r="J69" s="3" t="s">
        <v>253</v>
      </c>
    </row>
    <row r="70" spans="1:10" ht="66" x14ac:dyDescent="0.25">
      <c r="A70" s="3" t="s">
        <v>271</v>
      </c>
      <c r="B70" s="4" t="s">
        <v>272</v>
      </c>
      <c r="C70" s="3" t="s">
        <v>253</v>
      </c>
      <c r="D70" s="13">
        <v>0</v>
      </c>
      <c r="E70" s="14">
        <v>0</v>
      </c>
      <c r="F70" s="13">
        <v>0</v>
      </c>
      <c r="G70" s="4" t="s">
        <v>273</v>
      </c>
      <c r="H70" s="4" t="s">
        <v>255</v>
      </c>
      <c r="I70" s="3" t="s">
        <v>234</v>
      </c>
      <c r="J70" s="3" t="s">
        <v>253</v>
      </c>
    </row>
    <row r="71" spans="1:10" ht="66" x14ac:dyDescent="0.25">
      <c r="A71" s="3" t="s">
        <v>274</v>
      </c>
      <c r="B71" s="4" t="s">
        <v>275</v>
      </c>
      <c r="C71" s="3" t="s">
        <v>253</v>
      </c>
      <c r="D71" s="13">
        <v>0</v>
      </c>
      <c r="E71" s="14">
        <v>0</v>
      </c>
      <c r="F71" s="13">
        <v>0</v>
      </c>
      <c r="G71" s="4" t="s">
        <v>276</v>
      </c>
      <c r="H71" s="4" t="s">
        <v>255</v>
      </c>
      <c r="I71" s="3" t="s">
        <v>234</v>
      </c>
      <c r="J71" s="3" t="s">
        <v>253</v>
      </c>
    </row>
    <row r="72" spans="1:10" ht="66" x14ac:dyDescent="0.25">
      <c r="A72" s="3" t="s">
        <v>277</v>
      </c>
      <c r="B72" s="4" t="s">
        <v>278</v>
      </c>
      <c r="C72" s="3" t="s">
        <v>253</v>
      </c>
      <c r="D72" s="13">
        <v>0</v>
      </c>
      <c r="E72" s="14">
        <v>0</v>
      </c>
      <c r="F72" s="13">
        <v>0</v>
      </c>
      <c r="G72" s="4" t="s">
        <v>279</v>
      </c>
      <c r="H72" s="4" t="s">
        <v>255</v>
      </c>
      <c r="I72" s="3" t="s">
        <v>234</v>
      </c>
      <c r="J72" s="3" t="s">
        <v>253</v>
      </c>
    </row>
    <row r="73" spans="1:10" ht="66" x14ac:dyDescent="0.25">
      <c r="A73" s="3" t="s">
        <v>280</v>
      </c>
      <c r="B73" s="4" t="s">
        <v>281</v>
      </c>
      <c r="C73" s="3" t="s">
        <v>253</v>
      </c>
      <c r="D73" s="13">
        <v>0</v>
      </c>
      <c r="E73" s="14">
        <v>0</v>
      </c>
      <c r="F73" s="13">
        <v>0</v>
      </c>
      <c r="G73" s="4" t="s">
        <v>282</v>
      </c>
      <c r="H73" s="4" t="s">
        <v>255</v>
      </c>
      <c r="I73" s="3" t="s">
        <v>234</v>
      </c>
      <c r="J73" s="3" t="s">
        <v>253</v>
      </c>
    </row>
    <row r="74" spans="1:10" ht="66" x14ac:dyDescent="0.25">
      <c r="A74" s="3" t="s">
        <v>283</v>
      </c>
      <c r="B74" s="4" t="s">
        <v>284</v>
      </c>
      <c r="C74" s="3" t="s">
        <v>253</v>
      </c>
      <c r="D74" s="13">
        <v>0</v>
      </c>
      <c r="E74" s="14">
        <v>0</v>
      </c>
      <c r="F74" s="13">
        <v>0</v>
      </c>
      <c r="G74" s="4" t="s">
        <v>285</v>
      </c>
      <c r="H74" s="4" t="s">
        <v>255</v>
      </c>
      <c r="I74" s="3" t="s">
        <v>234</v>
      </c>
      <c r="J74" s="3" t="s">
        <v>253</v>
      </c>
    </row>
    <row r="75" spans="1:10" ht="92.4" x14ac:dyDescent="0.25">
      <c r="A75" s="3" t="s">
        <v>286</v>
      </c>
      <c r="B75" s="4" t="s">
        <v>287</v>
      </c>
      <c r="C75" s="3" t="s">
        <v>253</v>
      </c>
      <c r="D75" s="13">
        <v>0</v>
      </c>
      <c r="E75" s="14">
        <v>0</v>
      </c>
      <c r="F75" s="13">
        <v>0</v>
      </c>
      <c r="G75" s="4" t="s">
        <v>288</v>
      </c>
      <c r="H75" s="4" t="s">
        <v>255</v>
      </c>
      <c r="I75" s="3" t="s">
        <v>234</v>
      </c>
      <c r="J75" s="3" t="s">
        <v>253</v>
      </c>
    </row>
  </sheetData>
  <autoFilter ref="A4:J75" xr:uid="{22B2B269-D341-412C-926E-F983520FA701}"/>
  <conditionalFormatting sqref="J2:J501">
    <cfRule type="expression" dxfId="8" priority="1">
      <formula>OR(J2="assumed",J2="by-schedule",J2="by-client-spec")</formula>
    </cfRule>
  </conditionalFormatting>
  <conditionalFormatting sqref="D2:D501">
    <cfRule type="expression" dxfId="7" priority="2">
      <formula>D2="?"</formula>
    </cfRule>
  </conditionalFormatting>
  <conditionalFormatting sqref="F2:F501">
    <cfRule type="expression" dxfId="6" priority="3">
      <formula>F2="?"</formula>
    </cfRule>
  </conditionalFormatting>
  <dataValidations count="4">
    <dataValidation type="list" showInputMessage="1" showErrorMessage="1" errorTitle="Status" error="Choose one of the six allowed statuses." promptTitle="Status" prompt="Choose one of the six allowed statuses." sqref="J2:J501" xr:uid="{679A0735-4014-41F2-9E5C-4C0C8C88F4A8}">
      <formula1>"verified,derived,assumed,by-schedule,by-client-spec,excluded"</formula1>
    </dataValidation>
    <dataValidation type="list" showInputMessage="1" showErrorMessage="1" errorTitle="Basis" error="Choose the measurement basis." promptTitle="Basis" prompt="Choose the measurement basis." sqref="I2:I501" xr:uid="{EE04BBC9-3263-40C9-8158-CD53B9059B9B}">
      <formula1>"plan,slope,gross face,net face,net,developed girth,n/a"</formula1>
    </dataValidation>
    <dataValidation type="list" showInputMessage="1" showErrorMessage="1" errorTitle="Unit" error="Choose an allowed unit." promptTitle="Unit" prompt="Choose an allowed unit." sqref="C2:C501" xr:uid="{45810787-BCCF-4869-92AA-E103554BBB97}">
      <formula1>"m3,m2,lin. m,No,kg,bags,sheets,tonnes,mixed,excluded,n/a"</formula1>
    </dataValidation>
    <dataValidation type="list" showInputMessage="1" showErrorMessage="1" errorTitle="Wastage %" error="Choose an allowed wastage percentage." promptTitle="Wastage %" prompt="Choose an allowed wastage percentage." sqref="E2:E501" xr:uid="{F0AB5CD6-4E90-4214-A6C1-7483282AD50B}">
      <formula1>"0,5,7,8,10,12,15"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3421-4084-4308-8FBF-8A1D378061C4}">
  <dimension ref="A1:M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2" x14ac:dyDescent="0.25"/>
  <cols>
    <col min="1" max="1" width="51.88671875" customWidth="1"/>
    <col min="2" max="6" width="14.77734375" customWidth="1"/>
    <col min="7" max="7" width="31.44140625" customWidth="1"/>
    <col min="8" max="10" width="13.88671875" customWidth="1"/>
    <col min="11" max="11" width="12" customWidth="1"/>
    <col min="12" max="12" width="44.44140625" customWidth="1"/>
    <col min="13" max="13" width="37" customWidth="1"/>
  </cols>
  <sheetData>
    <row r="1" spans="1:13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34</v>
      </c>
    </row>
    <row r="4" spans="1:13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299</v>
      </c>
      <c r="F4" s="2" t="s">
        <v>300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</v>
      </c>
      <c r="L4" s="2" t="s">
        <v>29</v>
      </c>
      <c r="M4" s="2" t="s">
        <v>301</v>
      </c>
    </row>
    <row r="5" spans="1:13" x14ac:dyDescent="0.25">
      <c r="A5" s="5" t="s">
        <v>302</v>
      </c>
      <c r="B5">
        <v>34.200000000000003</v>
      </c>
      <c r="C5">
        <v>0.45</v>
      </c>
      <c r="D5">
        <v>0.6</v>
      </c>
      <c r="E5">
        <v>1</v>
      </c>
      <c r="F5">
        <v>1</v>
      </c>
      <c r="G5" s="5" t="s">
        <v>303</v>
      </c>
      <c r="H5">
        <v>9.23</v>
      </c>
      <c r="I5">
        <v>0</v>
      </c>
      <c r="J5">
        <v>9.23</v>
      </c>
      <c r="K5" t="s">
        <v>8</v>
      </c>
      <c r="L5" s="5" t="s">
        <v>9</v>
      </c>
      <c r="M5" s="5" t="s">
        <v>304</v>
      </c>
    </row>
    <row r="6" spans="1:13" x14ac:dyDescent="0.25">
      <c r="A6" s="5" t="s">
        <v>305</v>
      </c>
      <c r="B6">
        <v>34.200000000000003</v>
      </c>
      <c r="C6">
        <v>0.45</v>
      </c>
      <c r="D6">
        <v>0.55000000000000004</v>
      </c>
      <c r="E6">
        <v>1</v>
      </c>
      <c r="F6">
        <v>1</v>
      </c>
      <c r="G6" s="5" t="s">
        <v>306</v>
      </c>
      <c r="H6">
        <v>8.4600000000000009</v>
      </c>
      <c r="I6">
        <v>0</v>
      </c>
      <c r="J6">
        <v>8.4600000000000009</v>
      </c>
      <c r="K6" t="s">
        <v>8</v>
      </c>
      <c r="L6" s="5" t="s">
        <v>307</v>
      </c>
      <c r="M6" s="5" t="s">
        <v>308</v>
      </c>
    </row>
    <row r="7" spans="1:13" x14ac:dyDescent="0.25">
      <c r="A7" s="5" t="s">
        <v>309</v>
      </c>
      <c r="B7">
        <v>34.200000000000003</v>
      </c>
      <c r="C7">
        <v>0.45</v>
      </c>
      <c r="E7">
        <v>1</v>
      </c>
      <c r="F7">
        <v>1</v>
      </c>
      <c r="G7" s="5" t="s">
        <v>310</v>
      </c>
      <c r="H7">
        <v>15.39</v>
      </c>
      <c r="I7">
        <v>0</v>
      </c>
      <c r="J7">
        <v>15.39</v>
      </c>
      <c r="K7" t="s">
        <v>83</v>
      </c>
      <c r="L7" s="5" t="s">
        <v>311</v>
      </c>
      <c r="M7" s="5" t="s">
        <v>312</v>
      </c>
    </row>
    <row r="8" spans="1:13" ht="26.4" x14ac:dyDescent="0.25">
      <c r="A8" s="5" t="s">
        <v>313</v>
      </c>
      <c r="B8" t="s">
        <v>51</v>
      </c>
      <c r="C8" t="s">
        <v>51</v>
      </c>
      <c r="D8">
        <v>2.4</v>
      </c>
      <c r="E8">
        <v>1</v>
      </c>
      <c r="F8">
        <v>1</v>
      </c>
      <c r="G8" s="5" t="s">
        <v>314</v>
      </c>
      <c r="H8">
        <v>200</v>
      </c>
      <c r="I8">
        <v>0</v>
      </c>
      <c r="J8">
        <v>200</v>
      </c>
      <c r="K8" t="s">
        <v>83</v>
      </c>
      <c r="L8" s="5" t="s">
        <v>315</v>
      </c>
      <c r="M8" s="5" t="s">
        <v>316</v>
      </c>
    </row>
    <row r="9" spans="1:13" x14ac:dyDescent="0.25">
      <c r="A9" s="5" t="s">
        <v>317</v>
      </c>
      <c r="B9">
        <v>20800</v>
      </c>
      <c r="E9">
        <v>1</v>
      </c>
      <c r="F9">
        <v>1.33</v>
      </c>
      <c r="G9" s="5" t="s">
        <v>318</v>
      </c>
      <c r="H9">
        <v>9.36</v>
      </c>
      <c r="I9">
        <v>0</v>
      </c>
      <c r="J9">
        <v>9.36</v>
      </c>
      <c r="K9" t="s">
        <v>8</v>
      </c>
      <c r="L9" s="5" t="s">
        <v>319</v>
      </c>
      <c r="M9" s="5" t="s">
        <v>320</v>
      </c>
    </row>
  </sheetData>
  <dataValidations count="1">
    <dataValidation type="list" showInputMessage="1" showErrorMessage="1" errorTitle="Unit" error="Choose an allowed unit." promptTitle="Unit" prompt="Choose an allowed unit." sqref="K2:K301" xr:uid="{03581FF2-B68C-4E16-9326-1BAB651C467B}">
      <formula1>"m3,m2,lin. m,No,kg,bags,sheets,tonnes,mixed,excluded,n/a"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301A-11D5-4104-8F34-E2145D0F86B0}">
  <dimension ref="A1:C26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2" customWidth="1"/>
    <col min="2" max="2" width="96.33203125" customWidth="1"/>
    <col min="3" max="3" width="38.88671875" customWidth="1"/>
  </cols>
  <sheetData>
    <row r="1" spans="1:3" x14ac:dyDescent="0.25">
      <c r="A1" s="1" t="s">
        <v>33</v>
      </c>
      <c r="B1" s="1"/>
      <c r="C1" s="1"/>
    </row>
    <row r="2" spans="1:3" x14ac:dyDescent="0.25">
      <c r="A2" t="s">
        <v>34</v>
      </c>
    </row>
    <row r="4" spans="1:3" x14ac:dyDescent="0.25">
      <c r="A4" s="2" t="s">
        <v>30</v>
      </c>
      <c r="B4" s="2" t="s">
        <v>31</v>
      </c>
      <c r="C4" s="2" t="s">
        <v>32</v>
      </c>
    </row>
    <row r="5" spans="1:3" x14ac:dyDescent="0.25">
      <c r="A5" t="s">
        <v>11</v>
      </c>
      <c r="B5" s="5" t="s">
        <v>321</v>
      </c>
      <c r="C5" t="s">
        <v>322</v>
      </c>
    </row>
    <row r="6" spans="1:3" x14ac:dyDescent="0.25">
      <c r="A6" t="s">
        <v>11</v>
      </c>
      <c r="B6" s="5" t="s">
        <v>323</v>
      </c>
      <c r="C6" t="s">
        <v>322</v>
      </c>
    </row>
    <row r="7" spans="1:3" x14ac:dyDescent="0.25">
      <c r="A7" t="s">
        <v>11</v>
      </c>
      <c r="B7" s="5" t="s">
        <v>324</v>
      </c>
      <c r="C7" t="s">
        <v>325</v>
      </c>
    </row>
    <row r="8" spans="1:3" x14ac:dyDescent="0.25">
      <c r="A8" t="s">
        <v>44</v>
      </c>
      <c r="B8" s="5" t="s">
        <v>326</v>
      </c>
      <c r="C8" t="s">
        <v>322</v>
      </c>
    </row>
    <row r="9" spans="1:3" x14ac:dyDescent="0.25">
      <c r="A9" t="s">
        <v>49</v>
      </c>
      <c r="B9" s="5" t="s">
        <v>327</v>
      </c>
      <c r="C9" t="s">
        <v>322</v>
      </c>
    </row>
    <row r="10" spans="1:3" x14ac:dyDescent="0.25">
      <c r="A10" t="s">
        <v>54</v>
      </c>
      <c r="B10" s="5" t="s">
        <v>328</v>
      </c>
      <c r="C10" t="s">
        <v>322</v>
      </c>
    </row>
    <row r="11" spans="1:3" x14ac:dyDescent="0.25">
      <c r="A11" t="s">
        <v>12</v>
      </c>
      <c r="B11" s="5" t="s">
        <v>329</v>
      </c>
      <c r="C11" t="s">
        <v>322</v>
      </c>
    </row>
    <row r="12" spans="1:3" x14ac:dyDescent="0.25">
      <c r="A12" t="s">
        <v>63</v>
      </c>
      <c r="B12" s="5" t="s">
        <v>330</v>
      </c>
      <c r="C12" t="s">
        <v>331</v>
      </c>
    </row>
    <row r="13" spans="1:3" x14ac:dyDescent="0.25">
      <c r="A13" t="s">
        <v>63</v>
      </c>
      <c r="B13" s="5" t="s">
        <v>332</v>
      </c>
      <c r="C13" t="s">
        <v>322</v>
      </c>
    </row>
    <row r="14" spans="1:3" x14ac:dyDescent="0.25">
      <c r="A14" t="s">
        <v>70</v>
      </c>
      <c r="B14" s="5" t="s">
        <v>333</v>
      </c>
      <c r="C14" t="s">
        <v>322</v>
      </c>
    </row>
    <row r="15" spans="1:3" x14ac:dyDescent="0.25">
      <c r="A15" t="s">
        <v>15</v>
      </c>
      <c r="B15" s="5" t="s">
        <v>334</v>
      </c>
      <c r="C15" t="s">
        <v>335</v>
      </c>
    </row>
    <row r="16" spans="1:3" ht="26.4" x14ac:dyDescent="0.25">
      <c r="A16" t="s">
        <v>15</v>
      </c>
      <c r="B16" s="5" t="s">
        <v>336</v>
      </c>
      <c r="C16" t="s">
        <v>322</v>
      </c>
    </row>
    <row r="17" spans="1:3" x14ac:dyDescent="0.25">
      <c r="A17" t="s">
        <v>15</v>
      </c>
      <c r="B17" s="5" t="s">
        <v>337</v>
      </c>
      <c r="C17" t="s">
        <v>322</v>
      </c>
    </row>
    <row r="18" spans="1:3" x14ac:dyDescent="0.25">
      <c r="A18" t="s">
        <v>77</v>
      </c>
      <c r="B18" s="5" t="s">
        <v>338</v>
      </c>
      <c r="C18" t="s">
        <v>322</v>
      </c>
    </row>
    <row r="19" spans="1:3" x14ac:dyDescent="0.25">
      <c r="A19" t="s">
        <v>81</v>
      </c>
      <c r="B19" s="5" t="s">
        <v>339</v>
      </c>
      <c r="C19" t="s">
        <v>335</v>
      </c>
    </row>
    <row r="20" spans="1:3" x14ac:dyDescent="0.25">
      <c r="A20" t="s">
        <v>92</v>
      </c>
      <c r="B20" s="5" t="s">
        <v>340</v>
      </c>
      <c r="C20" t="s">
        <v>335</v>
      </c>
    </row>
    <row r="21" spans="1:3" x14ac:dyDescent="0.25">
      <c r="A21" t="s">
        <v>92</v>
      </c>
      <c r="B21" s="5" t="s">
        <v>341</v>
      </c>
      <c r="C21" t="s">
        <v>335</v>
      </c>
    </row>
    <row r="22" spans="1:3" x14ac:dyDescent="0.25">
      <c r="A22" t="s">
        <v>96</v>
      </c>
      <c r="B22" s="5" t="s">
        <v>342</v>
      </c>
      <c r="C22" t="s">
        <v>335</v>
      </c>
    </row>
    <row r="23" spans="1:3" ht="26.4" x14ac:dyDescent="0.25">
      <c r="A23" t="s">
        <v>103</v>
      </c>
      <c r="B23" s="5" t="s">
        <v>343</v>
      </c>
      <c r="C23" t="s">
        <v>322</v>
      </c>
    </row>
    <row r="24" spans="1:3" x14ac:dyDescent="0.25">
      <c r="A24" t="s">
        <v>344</v>
      </c>
      <c r="B24" s="5" t="s">
        <v>345</v>
      </c>
      <c r="C24" t="s">
        <v>322</v>
      </c>
    </row>
    <row r="25" spans="1:3" x14ac:dyDescent="0.25">
      <c r="A25" t="s">
        <v>344</v>
      </c>
      <c r="B25" s="5" t="s">
        <v>346</v>
      </c>
      <c r="C25" t="s">
        <v>322</v>
      </c>
    </row>
    <row r="26" spans="1:3" x14ac:dyDescent="0.25">
      <c r="A26" t="s">
        <v>344</v>
      </c>
      <c r="B26" s="5" t="s">
        <v>347</v>
      </c>
      <c r="C26" t="s">
        <v>322</v>
      </c>
    </row>
  </sheetData>
  <autoFilter ref="A4:C26" xr:uid="{6A2D301A-11D5-4104-8F34-E2145D0F86B0}"/>
  <conditionalFormatting sqref="C2:C301">
    <cfRule type="expression" dxfId="5" priority="1">
      <formula>LEFT(C2,8)="Verified"</formula>
    </cfRule>
  </conditionalFormatting>
  <conditionalFormatting sqref="C2:C301">
    <cfRule type="expression" dxfId="4" priority="2">
      <formula>LEFT(C2,9)="To verify"</formula>
    </cfRule>
  </conditionalFormatting>
  <dataValidations count="1">
    <dataValidation type="list" showInputMessage="1" showErrorMessage="1" errorTitle="Verification" error="Choose the verification state." promptTitle="Verification" prompt="Choose the verification state." sqref="C2:C301" xr:uid="{3C8CA7CF-E43A-47CA-AF7E-1845D72B1EFA}">
      <formula1>"Verified,To verify,To verify - refer to the engineer,To verify - question for the engineer"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BD64-5909-41F7-91FE-7A0F1E26FF42}">
  <dimension ref="A1:E43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2" customWidth="1"/>
    <col min="2" max="2" width="79.6640625" customWidth="1"/>
    <col min="3" max="3" width="27.77734375" customWidth="1"/>
    <col min="4" max="4" width="23.109375" customWidth="1"/>
    <col min="5" max="5" width="16.6640625" customWidth="1"/>
  </cols>
  <sheetData>
    <row r="1" spans="1:5" x14ac:dyDescent="0.25">
      <c r="A1" s="1" t="s">
        <v>33</v>
      </c>
      <c r="B1" s="1"/>
      <c r="C1" s="1"/>
      <c r="D1" s="1"/>
      <c r="E1" s="1"/>
    </row>
    <row r="2" spans="1:5" x14ac:dyDescent="0.25">
      <c r="A2" t="s">
        <v>34</v>
      </c>
    </row>
    <row r="4" spans="1:5" x14ac:dyDescent="0.25">
      <c r="A4" s="2" t="s">
        <v>348</v>
      </c>
      <c r="B4" s="2" t="s">
        <v>349</v>
      </c>
      <c r="C4" s="2" t="s">
        <v>350</v>
      </c>
      <c r="D4" s="2" t="s">
        <v>351</v>
      </c>
      <c r="E4" s="2" t="s">
        <v>6</v>
      </c>
    </row>
    <row r="5" spans="1:5" ht="26.4" x14ac:dyDescent="0.25">
      <c r="A5" t="s">
        <v>352</v>
      </c>
      <c r="B5" s="5" t="s">
        <v>353</v>
      </c>
      <c r="C5" t="s">
        <v>354</v>
      </c>
      <c r="D5" s="6">
        <v>39600</v>
      </c>
      <c r="E5" t="s">
        <v>10</v>
      </c>
    </row>
    <row r="6" spans="1:5" x14ac:dyDescent="0.25">
      <c r="A6" t="s">
        <v>355</v>
      </c>
      <c r="B6" s="5" t="s">
        <v>356</v>
      </c>
      <c r="C6" t="s">
        <v>357</v>
      </c>
      <c r="D6" s="6">
        <v>39600</v>
      </c>
      <c r="E6" t="s">
        <v>10</v>
      </c>
    </row>
    <row r="7" spans="1:5" ht="26.4" x14ac:dyDescent="0.25">
      <c r="A7" t="s">
        <v>355</v>
      </c>
      <c r="B7" s="5" t="s">
        <v>358</v>
      </c>
      <c r="C7" t="s">
        <v>354</v>
      </c>
      <c r="D7" s="6">
        <v>39600</v>
      </c>
      <c r="E7" t="s">
        <v>10</v>
      </c>
    </row>
    <row r="8" spans="1:5" x14ac:dyDescent="0.25">
      <c r="A8" t="s">
        <v>355</v>
      </c>
      <c r="B8" s="5" t="s">
        <v>359</v>
      </c>
      <c r="C8" t="s">
        <v>354</v>
      </c>
      <c r="D8" s="6">
        <v>39600</v>
      </c>
      <c r="E8" t="s">
        <v>10</v>
      </c>
    </row>
    <row r="9" spans="1:5" ht="26.4" x14ac:dyDescent="0.25">
      <c r="A9" t="s">
        <v>355</v>
      </c>
      <c r="B9" s="5" t="s">
        <v>360</v>
      </c>
      <c r="C9" t="s">
        <v>354</v>
      </c>
      <c r="D9" s="6">
        <v>39600</v>
      </c>
      <c r="E9" t="s">
        <v>10</v>
      </c>
    </row>
    <row r="10" spans="1:5" ht="26.4" x14ac:dyDescent="0.25">
      <c r="A10" t="s">
        <v>361</v>
      </c>
      <c r="B10" s="5" t="s">
        <v>362</v>
      </c>
      <c r="C10" t="s">
        <v>363</v>
      </c>
      <c r="D10" t="s">
        <v>364</v>
      </c>
      <c r="E10" t="s">
        <v>43</v>
      </c>
    </row>
    <row r="11" spans="1:5" x14ac:dyDescent="0.25">
      <c r="A11" t="s">
        <v>365</v>
      </c>
      <c r="B11" s="5" t="s">
        <v>366</v>
      </c>
      <c r="C11" t="s">
        <v>367</v>
      </c>
      <c r="D11" s="6">
        <v>39600</v>
      </c>
      <c r="E11" t="s">
        <v>10</v>
      </c>
    </row>
    <row r="12" spans="1:5" ht="26.4" x14ac:dyDescent="0.25">
      <c r="A12" t="s">
        <v>368</v>
      </c>
      <c r="B12" s="5" t="s">
        <v>369</v>
      </c>
      <c r="C12" t="s">
        <v>370</v>
      </c>
      <c r="D12" t="s">
        <v>364</v>
      </c>
      <c r="E12" t="s">
        <v>43</v>
      </c>
    </row>
    <row r="13" spans="1:5" x14ac:dyDescent="0.25">
      <c r="A13" t="s">
        <v>371</v>
      </c>
      <c r="B13" s="5" t="s">
        <v>372</v>
      </c>
      <c r="C13" t="s">
        <v>367</v>
      </c>
      <c r="D13" s="6">
        <v>39600</v>
      </c>
      <c r="E13" t="s">
        <v>10</v>
      </c>
    </row>
    <row r="14" spans="1:5" x14ac:dyDescent="0.25">
      <c r="A14" t="s">
        <v>371</v>
      </c>
      <c r="B14" s="5" t="s">
        <v>373</v>
      </c>
      <c r="C14" t="s">
        <v>367</v>
      </c>
      <c r="D14" s="6">
        <v>39600</v>
      </c>
      <c r="E14" t="s">
        <v>10</v>
      </c>
    </row>
    <row r="15" spans="1:5" ht="26.4" x14ac:dyDescent="0.25">
      <c r="A15" t="s">
        <v>306</v>
      </c>
      <c r="B15" s="5" t="s">
        <v>374</v>
      </c>
      <c r="C15" t="s">
        <v>375</v>
      </c>
      <c r="D15" t="s">
        <v>364</v>
      </c>
      <c r="E15" t="s">
        <v>43</v>
      </c>
    </row>
    <row r="16" spans="1:5" x14ac:dyDescent="0.25">
      <c r="A16" t="s">
        <v>306</v>
      </c>
      <c r="B16" s="5" t="s">
        <v>376</v>
      </c>
      <c r="C16" t="s">
        <v>377</v>
      </c>
      <c r="D16" t="s">
        <v>364</v>
      </c>
      <c r="E16" t="s">
        <v>43</v>
      </c>
    </row>
    <row r="17" spans="1:5" ht="26.4" x14ac:dyDescent="0.25">
      <c r="A17" t="s">
        <v>306</v>
      </c>
      <c r="B17" s="5" t="s">
        <v>378</v>
      </c>
      <c r="C17" t="s">
        <v>377</v>
      </c>
      <c r="D17" t="s">
        <v>364</v>
      </c>
      <c r="E17" t="s">
        <v>43</v>
      </c>
    </row>
    <row r="18" spans="1:5" x14ac:dyDescent="0.25">
      <c r="A18" t="s">
        <v>379</v>
      </c>
      <c r="B18" s="5" t="s">
        <v>380</v>
      </c>
      <c r="C18" t="s">
        <v>377</v>
      </c>
      <c r="D18" t="s">
        <v>364</v>
      </c>
      <c r="E18" t="s">
        <v>43</v>
      </c>
    </row>
    <row r="19" spans="1:5" x14ac:dyDescent="0.25">
      <c r="A19" t="s">
        <v>379</v>
      </c>
      <c r="B19" s="5" t="s">
        <v>381</v>
      </c>
      <c r="C19" t="s">
        <v>377</v>
      </c>
      <c r="D19" t="s">
        <v>364</v>
      </c>
      <c r="E19" t="s">
        <v>43</v>
      </c>
    </row>
    <row r="20" spans="1:5" x14ac:dyDescent="0.25">
      <c r="A20" t="s">
        <v>379</v>
      </c>
      <c r="B20" s="5" t="s">
        <v>382</v>
      </c>
      <c r="C20" t="s">
        <v>377</v>
      </c>
      <c r="D20" t="s">
        <v>364</v>
      </c>
      <c r="E20" t="s">
        <v>43</v>
      </c>
    </row>
    <row r="21" spans="1:5" x14ac:dyDescent="0.25">
      <c r="A21" t="s">
        <v>383</v>
      </c>
      <c r="B21" s="5" t="s">
        <v>384</v>
      </c>
      <c r="C21" t="s">
        <v>357</v>
      </c>
      <c r="D21" s="6">
        <v>39600</v>
      </c>
      <c r="E21" t="s">
        <v>10</v>
      </c>
    </row>
    <row r="22" spans="1:5" x14ac:dyDescent="0.25">
      <c r="A22" t="s">
        <v>385</v>
      </c>
      <c r="B22" s="5" t="s">
        <v>386</v>
      </c>
      <c r="C22" t="s">
        <v>357</v>
      </c>
      <c r="D22" s="6">
        <v>39600</v>
      </c>
      <c r="E22" t="s">
        <v>10</v>
      </c>
    </row>
    <row r="23" spans="1:5" x14ac:dyDescent="0.25">
      <c r="A23" t="s">
        <v>387</v>
      </c>
      <c r="B23" s="5" t="s">
        <v>388</v>
      </c>
      <c r="C23" t="s">
        <v>377</v>
      </c>
      <c r="D23" t="s">
        <v>364</v>
      </c>
      <c r="E23" t="s">
        <v>43</v>
      </c>
    </row>
    <row r="24" spans="1:5" ht="26.4" x14ac:dyDescent="0.25">
      <c r="A24" t="s">
        <v>387</v>
      </c>
      <c r="B24" s="5" t="s">
        <v>389</v>
      </c>
      <c r="C24" t="s">
        <v>390</v>
      </c>
      <c r="D24" s="6">
        <v>39600</v>
      </c>
      <c r="E24" t="s">
        <v>10</v>
      </c>
    </row>
    <row r="25" spans="1:5" ht="26.4" x14ac:dyDescent="0.25">
      <c r="A25" t="s">
        <v>391</v>
      </c>
      <c r="B25" s="5" t="s">
        <v>392</v>
      </c>
      <c r="C25" t="s">
        <v>377</v>
      </c>
      <c r="D25" t="s">
        <v>364</v>
      </c>
      <c r="E25" t="s">
        <v>43</v>
      </c>
    </row>
    <row r="26" spans="1:5" x14ac:dyDescent="0.25">
      <c r="A26" t="s">
        <v>393</v>
      </c>
      <c r="B26" s="5" t="s">
        <v>394</v>
      </c>
      <c r="C26" t="s">
        <v>395</v>
      </c>
      <c r="D26" t="s">
        <v>364</v>
      </c>
      <c r="E26" t="s">
        <v>43</v>
      </c>
    </row>
    <row r="27" spans="1:5" x14ac:dyDescent="0.25">
      <c r="A27" t="s">
        <v>393</v>
      </c>
      <c r="B27" s="5" t="s">
        <v>396</v>
      </c>
      <c r="C27" t="s">
        <v>397</v>
      </c>
      <c r="D27" s="6">
        <v>39600</v>
      </c>
      <c r="E27" t="s">
        <v>10</v>
      </c>
    </row>
    <row r="28" spans="1:5" x14ac:dyDescent="0.25">
      <c r="A28" t="s">
        <v>398</v>
      </c>
      <c r="B28" s="5" t="s">
        <v>399</v>
      </c>
      <c r="C28" t="s">
        <v>400</v>
      </c>
      <c r="D28" t="s">
        <v>364</v>
      </c>
      <c r="E28" t="s">
        <v>43</v>
      </c>
    </row>
    <row r="29" spans="1:5" ht="26.4" x14ac:dyDescent="0.25">
      <c r="A29" t="s">
        <v>401</v>
      </c>
      <c r="B29" s="5" t="s">
        <v>402</v>
      </c>
      <c r="C29" t="s">
        <v>403</v>
      </c>
      <c r="D29" t="s">
        <v>364</v>
      </c>
      <c r="E29" t="s">
        <v>43</v>
      </c>
    </row>
    <row r="30" spans="1:5" x14ac:dyDescent="0.25">
      <c r="A30" t="s">
        <v>303</v>
      </c>
      <c r="B30" s="5" t="s">
        <v>404</v>
      </c>
      <c r="C30" t="s">
        <v>354</v>
      </c>
      <c r="D30" s="6">
        <v>39600</v>
      </c>
      <c r="E30" t="s">
        <v>10</v>
      </c>
    </row>
    <row r="31" spans="1:5" x14ac:dyDescent="0.25">
      <c r="A31" t="s">
        <v>303</v>
      </c>
      <c r="B31" s="5" t="s">
        <v>405</v>
      </c>
      <c r="C31" t="s">
        <v>403</v>
      </c>
      <c r="D31" t="s">
        <v>364</v>
      </c>
      <c r="E31" t="s">
        <v>43</v>
      </c>
    </row>
    <row r="32" spans="1:5" ht="26.4" x14ac:dyDescent="0.25">
      <c r="A32" t="s">
        <v>406</v>
      </c>
      <c r="B32" s="5" t="s">
        <v>407</v>
      </c>
      <c r="C32" t="s">
        <v>408</v>
      </c>
      <c r="D32" s="6">
        <v>39600</v>
      </c>
      <c r="E32" t="s">
        <v>10</v>
      </c>
    </row>
    <row r="33" spans="1:5" x14ac:dyDescent="0.25">
      <c r="A33" t="s">
        <v>406</v>
      </c>
      <c r="B33" s="5" t="s">
        <v>409</v>
      </c>
      <c r="C33" t="s">
        <v>408</v>
      </c>
      <c r="D33" s="6">
        <v>39600</v>
      </c>
      <c r="E33" t="s">
        <v>10</v>
      </c>
    </row>
    <row r="34" spans="1:5" x14ac:dyDescent="0.25">
      <c r="A34" t="s">
        <v>410</v>
      </c>
      <c r="B34" s="5" t="s">
        <v>411</v>
      </c>
      <c r="C34" t="s">
        <v>412</v>
      </c>
      <c r="D34" t="s">
        <v>364</v>
      </c>
      <c r="E34" t="s">
        <v>43</v>
      </c>
    </row>
    <row r="35" spans="1:5" x14ac:dyDescent="0.25">
      <c r="A35" t="s">
        <v>413</v>
      </c>
      <c r="B35" s="5" t="s">
        <v>414</v>
      </c>
      <c r="C35" t="s">
        <v>415</v>
      </c>
      <c r="D35" t="s">
        <v>364</v>
      </c>
      <c r="E35" t="s">
        <v>43</v>
      </c>
    </row>
    <row r="36" spans="1:5" ht="26.4" x14ac:dyDescent="0.25">
      <c r="A36" t="s">
        <v>416</v>
      </c>
      <c r="B36" s="5" t="s">
        <v>417</v>
      </c>
      <c r="C36" t="s">
        <v>354</v>
      </c>
      <c r="D36" s="6">
        <v>39600</v>
      </c>
      <c r="E36" t="s">
        <v>10</v>
      </c>
    </row>
    <row r="37" spans="1:5" x14ac:dyDescent="0.25">
      <c r="A37" t="s">
        <v>418</v>
      </c>
      <c r="B37" s="5" t="s">
        <v>419</v>
      </c>
      <c r="C37" t="s">
        <v>420</v>
      </c>
      <c r="D37" s="6">
        <v>39600</v>
      </c>
      <c r="E37" t="s">
        <v>10</v>
      </c>
    </row>
    <row r="38" spans="1:5" x14ac:dyDescent="0.25">
      <c r="A38" t="s">
        <v>421</v>
      </c>
      <c r="B38" s="5" t="s">
        <v>422</v>
      </c>
      <c r="C38" t="s">
        <v>357</v>
      </c>
      <c r="D38" s="6">
        <v>39600</v>
      </c>
      <c r="E38" t="s">
        <v>10</v>
      </c>
    </row>
    <row r="39" spans="1:5" x14ac:dyDescent="0.25">
      <c r="A39" t="s">
        <v>423</v>
      </c>
      <c r="B39" s="5" t="s">
        <v>424</v>
      </c>
      <c r="C39" t="s">
        <v>425</v>
      </c>
      <c r="D39" s="6">
        <v>39600</v>
      </c>
      <c r="E39" t="s">
        <v>10</v>
      </c>
    </row>
    <row r="40" spans="1:5" ht="26.4" x14ac:dyDescent="0.25">
      <c r="A40" t="s">
        <v>426</v>
      </c>
      <c r="B40" s="5" t="s">
        <v>427</v>
      </c>
      <c r="C40" t="s">
        <v>357</v>
      </c>
      <c r="D40" s="6">
        <v>39600</v>
      </c>
      <c r="E40" t="s">
        <v>10</v>
      </c>
    </row>
    <row r="41" spans="1:5" ht="26.4" x14ac:dyDescent="0.25">
      <c r="A41" t="s">
        <v>428</v>
      </c>
      <c r="B41" s="5" t="s">
        <v>429</v>
      </c>
      <c r="C41" t="s">
        <v>430</v>
      </c>
      <c r="D41" t="s">
        <v>364</v>
      </c>
      <c r="E41" t="s">
        <v>43</v>
      </c>
    </row>
    <row r="42" spans="1:5" x14ac:dyDescent="0.25">
      <c r="A42" t="s">
        <v>255</v>
      </c>
      <c r="B42" s="5" t="s">
        <v>431</v>
      </c>
      <c r="C42" t="s">
        <v>255</v>
      </c>
      <c r="D42" s="7">
        <v>46296</v>
      </c>
      <c r="E42" t="s">
        <v>10</v>
      </c>
    </row>
    <row r="43" spans="1:5" x14ac:dyDescent="0.25">
      <c r="A43" t="s">
        <v>432</v>
      </c>
      <c r="B43" s="5" t="s">
        <v>433</v>
      </c>
      <c r="C43" t="s">
        <v>432</v>
      </c>
      <c r="D43" s="7">
        <v>46296</v>
      </c>
      <c r="E43" t="s">
        <v>10</v>
      </c>
    </row>
  </sheetData>
  <autoFilter ref="A4:E43" xr:uid="{9C90BD64-5909-41F7-91FE-7A0F1E26FF42}"/>
  <conditionalFormatting sqref="A5:E43">
    <cfRule type="expression" dxfId="3" priority="1">
      <formula>ISNUMBER(SEARCH("to confirm",$D5))</formula>
    </cfRule>
  </conditionalFormatting>
  <conditionalFormatting sqref="A5:E43">
    <cfRule type="expression" dxfId="2" priority="2">
      <formula>$E5="assumed"</formula>
    </cfRule>
  </conditionalFormatting>
  <dataValidations count="1">
    <dataValidation type="list" showInputMessage="1" showErrorMessage="1" errorTitle="Status" error="Choose one of the six allowed statuses." promptTitle="Status" prompt="Choose one of the six allowed statuses." sqref="E2:E301" xr:uid="{40CD759E-000A-4C42-990E-505DCBC4D487}">
      <formula1>"verified,derived,assumed,by-schedule,by-client-spec,excluded"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8353-727A-4827-B858-B1FB61437509}">
  <dimension ref="A1:A49"/>
  <sheetViews>
    <sheetView workbookViewId="0"/>
  </sheetViews>
  <sheetFormatPr defaultRowHeight="13.2" x14ac:dyDescent="0.25"/>
  <cols>
    <col min="1" max="1" width="111.109375" customWidth="1"/>
  </cols>
  <sheetData>
    <row r="1" spans="1:1" x14ac:dyDescent="0.25">
      <c r="A1" s="1" t="s">
        <v>33</v>
      </c>
    </row>
    <row r="2" spans="1:1" x14ac:dyDescent="0.25">
      <c r="A2" t="s">
        <v>34</v>
      </c>
    </row>
    <row r="4" spans="1:1" x14ac:dyDescent="0.25">
      <c r="A4" s="8" t="s">
        <v>434</v>
      </c>
    </row>
    <row r="5" spans="1:1" ht="24" customHeight="1" x14ac:dyDescent="0.25">
      <c r="A5" s="9" t="s">
        <v>435</v>
      </c>
    </row>
    <row r="6" spans="1:1" x14ac:dyDescent="0.25">
      <c r="A6" s="8" t="s">
        <v>434</v>
      </c>
    </row>
    <row r="7" spans="1:1" x14ac:dyDescent="0.25">
      <c r="A7" s="10" t="s">
        <v>436</v>
      </c>
    </row>
    <row r="8" spans="1:1" x14ac:dyDescent="0.25">
      <c r="A8" s="10" t="s">
        <v>437</v>
      </c>
    </row>
    <row r="9" spans="1:1" x14ac:dyDescent="0.25">
      <c r="A9" s="10" t="s">
        <v>438</v>
      </c>
    </row>
    <row r="10" spans="1:1" x14ac:dyDescent="0.25">
      <c r="A10" s="10" t="s">
        <v>439</v>
      </c>
    </row>
    <row r="11" spans="1:1" x14ac:dyDescent="0.25">
      <c r="A11" s="10" t="s">
        <v>440</v>
      </c>
    </row>
    <row r="12" spans="1:1" x14ac:dyDescent="0.25">
      <c r="A12" s="10" t="s">
        <v>441</v>
      </c>
    </row>
    <row r="13" spans="1:1" x14ac:dyDescent="0.25">
      <c r="A13" s="10" t="s">
        <v>442</v>
      </c>
    </row>
    <row r="14" spans="1:1" x14ac:dyDescent="0.25">
      <c r="A14" s="10" t="s">
        <v>443</v>
      </c>
    </row>
    <row r="15" spans="1:1" x14ac:dyDescent="0.25">
      <c r="A15" s="10" t="s">
        <v>444</v>
      </c>
    </row>
    <row r="16" spans="1:1" x14ac:dyDescent="0.25">
      <c r="A16" s="10" t="s">
        <v>445</v>
      </c>
    </row>
    <row r="17" spans="1:1" x14ac:dyDescent="0.25">
      <c r="A17" s="10" t="s">
        <v>446</v>
      </c>
    </row>
    <row r="18" spans="1:1" x14ac:dyDescent="0.25">
      <c r="A18" s="11" t="s">
        <v>434</v>
      </c>
    </row>
    <row r="19" spans="1:1" ht="24" customHeight="1" x14ac:dyDescent="0.25">
      <c r="A19" s="12" t="s">
        <v>447</v>
      </c>
    </row>
    <row r="20" spans="1:1" x14ac:dyDescent="0.25">
      <c r="A20" s="11" t="s">
        <v>434</v>
      </c>
    </row>
    <row r="21" spans="1:1" x14ac:dyDescent="0.25">
      <c r="A21" s="10" t="s">
        <v>448</v>
      </c>
    </row>
    <row r="22" spans="1:1" x14ac:dyDescent="0.25">
      <c r="A22" s="10" t="s">
        <v>449</v>
      </c>
    </row>
    <row r="23" spans="1:1" x14ac:dyDescent="0.25">
      <c r="A23" s="10" t="s">
        <v>450</v>
      </c>
    </row>
    <row r="24" spans="1:1" x14ac:dyDescent="0.25">
      <c r="A24" s="10" t="s">
        <v>451</v>
      </c>
    </row>
    <row r="25" spans="1:1" x14ac:dyDescent="0.25">
      <c r="A25" s="10" t="s">
        <v>452</v>
      </c>
    </row>
    <row r="26" spans="1:1" x14ac:dyDescent="0.25">
      <c r="A26" s="10" t="s">
        <v>453</v>
      </c>
    </row>
    <row r="27" spans="1:1" x14ac:dyDescent="0.25">
      <c r="A27" s="10" t="s">
        <v>454</v>
      </c>
    </row>
    <row r="28" spans="1:1" x14ac:dyDescent="0.25">
      <c r="A28" s="10" t="s">
        <v>455</v>
      </c>
    </row>
    <row r="29" spans="1:1" x14ac:dyDescent="0.25">
      <c r="A29" s="10" t="s">
        <v>456</v>
      </c>
    </row>
    <row r="30" spans="1:1" x14ac:dyDescent="0.25">
      <c r="A30" s="10" t="s">
        <v>457</v>
      </c>
    </row>
    <row r="31" spans="1:1" x14ac:dyDescent="0.25">
      <c r="A31" s="11" t="s">
        <v>434</v>
      </c>
    </row>
    <row r="32" spans="1:1" ht="24" customHeight="1" x14ac:dyDescent="0.25">
      <c r="A32" s="12" t="s">
        <v>458</v>
      </c>
    </row>
    <row r="33" spans="1:1" x14ac:dyDescent="0.25">
      <c r="A33" s="11" t="s">
        <v>434</v>
      </c>
    </row>
    <row r="34" spans="1:1" x14ac:dyDescent="0.25">
      <c r="A34" s="10" t="s">
        <v>459</v>
      </c>
    </row>
    <row r="35" spans="1:1" x14ac:dyDescent="0.25">
      <c r="A35" s="10" t="s">
        <v>460</v>
      </c>
    </row>
    <row r="36" spans="1:1" x14ac:dyDescent="0.25">
      <c r="A36" s="10" t="s">
        <v>461</v>
      </c>
    </row>
    <row r="37" spans="1:1" x14ac:dyDescent="0.25">
      <c r="A37" s="10" t="s">
        <v>462</v>
      </c>
    </row>
    <row r="38" spans="1:1" x14ac:dyDescent="0.25">
      <c r="A38" s="10" t="s">
        <v>463</v>
      </c>
    </row>
    <row r="39" spans="1:1" x14ac:dyDescent="0.25">
      <c r="A39" s="10" t="s">
        <v>464</v>
      </c>
    </row>
    <row r="40" spans="1:1" x14ac:dyDescent="0.25">
      <c r="A40" s="10" t="s">
        <v>465</v>
      </c>
    </row>
    <row r="41" spans="1:1" x14ac:dyDescent="0.25">
      <c r="A41" s="10" t="s">
        <v>466</v>
      </c>
    </row>
    <row r="42" spans="1:1" x14ac:dyDescent="0.25">
      <c r="A42" s="10" t="s">
        <v>467</v>
      </c>
    </row>
    <row r="43" spans="1:1" x14ac:dyDescent="0.25">
      <c r="A43" s="10" t="s">
        <v>468</v>
      </c>
    </row>
    <row r="44" spans="1:1" x14ac:dyDescent="0.25">
      <c r="A44" s="10" t="s">
        <v>469</v>
      </c>
    </row>
    <row r="45" spans="1:1" x14ac:dyDescent="0.25">
      <c r="A45" s="10" t="s">
        <v>470</v>
      </c>
    </row>
    <row r="46" spans="1:1" x14ac:dyDescent="0.25">
      <c r="A46" s="11" t="s">
        <v>434</v>
      </c>
    </row>
    <row r="47" spans="1:1" x14ac:dyDescent="0.25">
      <c r="A47" s="10" t="s">
        <v>471</v>
      </c>
    </row>
    <row r="48" spans="1:1" x14ac:dyDescent="0.25">
      <c r="A48" s="10" t="s">
        <v>472</v>
      </c>
    </row>
    <row r="49" spans="1:1" x14ac:dyDescent="0.25">
      <c r="A49" s="10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BOQ</vt:lpstr>
      <vt:lpstr>Take-off</vt:lpstr>
      <vt:lpstr>Assumptions &amp; Verify</vt:lpstr>
      <vt:lpstr>Norms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Desousa</cp:lastModifiedBy>
  <cp:revision>0</cp:revision>
  <dcterms:created xsi:type="dcterms:W3CDTF">2026-10-01T09:35:35Z</dcterms:created>
  <dcterms:modified xsi:type="dcterms:W3CDTF">2026-10-01T11:01:42Z</dcterms:modified>
  <cp:category/>
  <cp:contentStatus/>
</cp:coreProperties>
</file>